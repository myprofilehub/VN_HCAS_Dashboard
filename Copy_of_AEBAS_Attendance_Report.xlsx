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Hindustan AEBAS Attendance" r:id="rId1" sheetId="1"/>
    <sheet name="SKWC AEBAS Attendance" r:id="rId2" sheetId="2"/>
  </sheets>
  <extLst/>
</workbook>
</file>

<file path=xl/sharedStrings.xml><?xml version="1.0" encoding="utf-8"?>
<sst xmlns="http://schemas.openxmlformats.org/spreadsheetml/2006/main" count="65" uniqueCount="65">
  <si>
    <t>S.No</t>
  </si>
  <si>
    <t>Name</t>
  </si>
  <si>
    <t>Registration ID</t>
  </si>
  <si>
    <t>Mbl Number</t>
  </si>
  <si>
    <t>No of days present</t>
  </si>
  <si>
    <t>No of days Absent</t>
  </si>
  <si>
    <t>Total Class Days</t>
  </si>
  <si>
    <t>Completed Class Days</t>
  </si>
  <si>
    <t>Pending Class Days</t>
  </si>
  <si>
    <t>Attendance Percentage</t>
  </si>
  <si>
    <t>Planned Hours</t>
  </si>
  <si>
    <t>Hours Completed (Per Student)</t>
  </si>
  <si>
    <t>Hours Delivered</t>
  </si>
  <si>
    <t>Balance Hours</t>
  </si>
  <si>
    <t>Madhan D</t>
  </si>
  <si>
    <t>P</t>
  </si>
  <si>
    <t>A</t>
  </si>
  <si>
    <t>Gopika V</t>
  </si>
  <si>
    <t>Janaki</t>
  </si>
  <si>
    <t>Sena Mohammed</t>
  </si>
  <si>
    <t>R Vicky</t>
  </si>
  <si>
    <t>Manish D</t>
  </si>
  <si>
    <t>p</t>
  </si>
  <si>
    <t>Ganapathyraj Periyasamy</t>
  </si>
  <si>
    <t>Priyanka R</t>
  </si>
  <si>
    <t>Mannoj</t>
  </si>
  <si>
    <t>Preethi Varsha A</t>
  </si>
  <si>
    <t>Ajai C</t>
  </si>
  <si>
    <t>Mohammed Arzath</t>
  </si>
  <si>
    <t>Charukesh Kubendiran</t>
  </si>
  <si>
    <t>Naveen Babu Rameshbabu</t>
  </si>
  <si>
    <t>Deepankumar A</t>
  </si>
  <si>
    <t>Pooja S</t>
  </si>
  <si>
    <t>Naveen Kumar</t>
  </si>
  <si>
    <t>Yuvaraj</t>
  </si>
  <si>
    <t>Thivagar Senthilnathan</t>
  </si>
  <si>
    <t>Kokilavani V</t>
  </si>
  <si>
    <t>Lavanya M</t>
  </si>
  <si>
    <t>S Preethi</t>
  </si>
  <si>
    <t>Karthik raja gajendran</t>
  </si>
  <si>
    <t>Keerthika</t>
  </si>
  <si>
    <t>prasanth</t>
  </si>
  <si>
    <t>Aboorva S</t>
  </si>
  <si>
    <t>Prakash Ramachandiran</t>
  </si>
  <si>
    <t>Subash Kanniyappan</t>
  </si>
  <si>
    <t>Deepak Rajendran</t>
  </si>
  <si>
    <t>Ganesan G</t>
  </si>
  <si>
    <t>Pending class Days</t>
  </si>
  <si>
    <t>Shireesha</t>
  </si>
  <si>
    <t>Sabitha</t>
  </si>
  <si>
    <t>R Ranjini</t>
  </si>
  <si>
    <t>Aarthi R</t>
  </si>
  <si>
    <t>Sathiya priya P</t>
  </si>
  <si>
    <t>Preethi M</t>
  </si>
  <si>
    <t>Dhanusree M</t>
  </si>
  <si>
    <t>Nithya Shree</t>
  </si>
  <si>
    <t>Swetha S</t>
  </si>
  <si>
    <t>Anusha P</t>
  </si>
  <si>
    <t>Preethi D</t>
  </si>
  <si>
    <t>Thilagavathi M</t>
  </si>
  <si>
    <t>Mariya therasa A</t>
  </si>
  <si>
    <t>vasmitha G</t>
  </si>
  <si>
    <t>Devadharshini K</t>
  </si>
  <si>
    <t>Sandhya M</t>
  </si>
  <si>
    <t>-</t>
  </si>
</sst>
</file>

<file path=xl/styles.xml><?xml version="1.0" encoding="utf-8"?>
<styleSheet xmlns="http://schemas.openxmlformats.org/spreadsheetml/2006/main">
  <numFmts count="3">
    <numFmt formatCode="d/m/yyyy" numFmtId="164"/>
    <numFmt formatCode="#0%" numFmtId="165"/>
    <numFmt formatCode="dd/mm/yyyy" numFmtId="166"/>
  </numFmts>
  <fonts count="12">
    <font>
      <sz val="10"/>
      <color rgb="FF000000"/>
      <name val="Roboto"/>
    </font>
    <font>
      <sz val="10"/>
      <name val="Roboto"/>
    </font>
    <font>
      <b/>
      <sz val="10"/>
      <name val="Roboto"/>
    </font>
    <font>
      <b/>
      <sz val="10"/>
      <name val="Roboto"/>
    </font>
    <font>
      <sz val="9"/>
      <name val="Poppins"/>
    </font>
    <font>
      <sz val="10.0"/>
      <name val="Roboto"/>
    </font>
    <font>
      <sz val="10"/>
      <name val="Roboto"/>
    </font>
    <font>
      <sz val="10"/>
      <name val="sans-serif"/>
    </font>
    <font>
      <sz val="10"/>
      <name val="Roboto"/>
    </font>
    <font>
      <sz val="10"/>
      <name val="sans-serif"/>
    </font>
    <font>
      <sz val="10"/>
      <color rgb="FF333333"/>
      <name val="sans-serif"/>
    </font>
    <font>
      <sz val="10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 xfId="0">
      <alignment vertical="top"/>
    </xf>
  </cellStyleXfs>
  <cellXfs count="24">
    <xf borderId="0" fillId="0" fontId="0" numFmtId="0" xfId="0">
      <alignment vertical="top"/>
    </xf>
    <xf borderId="1" fillId="0" fontId="1" numFmtId="0" xfId="0">
      <alignment horizontal="center" vertical="center"/>
    </xf>
    <xf borderId="1" fillId="0" fontId="2" numFmtId="0" xfId="0">
      <alignment horizontal="center" vertical="center"/>
    </xf>
    <xf borderId="1" fillId="0" fontId="3" numFmtId="0" xfId="0">
      <alignment horizontal="center" vertical="center" wrapText="1"/>
    </xf>
    <xf borderId="1" fillId="0" fontId="1" numFmtId="164" xfId="0">
      <alignment horizontal="center" vertical="center"/>
    </xf>
    <xf borderId="2" fillId="0" fontId="1" numFmtId="0" xfId="0">
      <alignment horizontal="center" vertical="center"/>
    </xf>
    <xf borderId="0" fillId="0" fontId="1" numFmtId="0" xfId="0">
      <alignment vertical="top"/>
    </xf>
    <xf borderId="1" fillId="0" fontId="4" numFmtId="0" xfId="0">
      <alignment horizontal="center" vertical="center" wrapText="1"/>
    </xf>
    <xf borderId="1" fillId="0" fontId="5" numFmtId="0" xfId="0">
      <alignment horizontal="center" vertical="center"/>
    </xf>
    <xf borderId="1" fillId="0" fontId="1" numFmtId="165" xfId="0">
      <alignment horizontal="center" vertical="center"/>
    </xf>
    <xf borderId="1" fillId="0" fontId="6" numFmtId="0" xfId="0">
      <alignment horizontal="center" vertical="center" wrapText="1"/>
    </xf>
    <xf borderId="1" fillId="0" fontId="7" numFmtId="0" xfId="0">
      <alignment horizontal="center" vertical="center" wrapText="1"/>
    </xf>
    <xf borderId="3" fillId="0" fontId="8" numFmtId="166" xfId="0">
      <alignment horizontal="center" vertical="center"/>
    </xf>
    <xf borderId="1" fillId="0" fontId="8" numFmtId="166" xfId="0">
      <alignment horizontal="center" vertical="top"/>
    </xf>
    <xf borderId="1" fillId="0" fontId="9" numFmtId="0" xfId="0">
      <alignment horizontal="center" vertical="center"/>
    </xf>
    <xf borderId="1" fillId="2" fontId="1" numFmtId="0" xfId="0">
      <alignment horizontal="center" vertical="top"/>
    </xf>
    <xf borderId="1" fillId="0" fontId="1" numFmtId="0" xfId="0">
      <alignment horizontal="center" vertical="top"/>
    </xf>
    <xf borderId="1" fillId="0" fontId="10" numFmtId="0" xfId="0">
      <alignment horizontal="center" vertical="center" wrapText="1"/>
    </xf>
    <xf borderId="1" fillId="0" fontId="11" numFmtId="0" xfId="0">
      <alignment horizontal="center" vertical="center"/>
    </xf>
    <xf borderId="3" fillId="0" fontId="1" numFmtId="0" xfId="0">
      <alignment horizontal="center" vertical="center"/>
    </xf>
    <xf borderId="3" fillId="2" fontId="1" numFmtId="0" xfId="0">
      <alignment horizontal="center" vertical="top"/>
    </xf>
    <xf borderId="4" fillId="0" fontId="1" numFmtId="0" xfId="0">
      <alignment horizontal="center" vertical="center"/>
    </xf>
    <xf borderId="2" fillId="0" fontId="9" numFmtId="0" xfId="0">
      <alignment horizontal="center" vertical="center"/>
    </xf>
    <xf borderId="5" fillId="0" fontId="1" numFmtId="0" xfId="0">
      <alignment horizontal="center" vertical="center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K32"/>
  <sheetViews>
    <sheetView workbookViewId="0">
      <pane xSplit="4" topLeftCell="E1" state="frozen"/>
    </sheetView>
  </sheetViews>
  <sheetFormatPr defaultRowHeight="14.0" customHeight="1"/>
  <cols>
    <col min="1" max="1" width="13.24"/>
    <col min="2" max="2" width="42.53"/>
    <col min="3" max="15" width="13.24"/>
    <col min="16" max="79" width="17.35"/>
    <col min="80" max="81" width="26.36"/>
    <col min="82" max="82" width="26.36"/>
    <col min="83" max="83" width="26.36"/>
    <col min="84" max="84" width="26.36"/>
    <col min="85" max="85" width="26.36"/>
    <col min="86" max="89" width="26.36"/>
    <col min="90" max="2048" width="13.24"/>
  </cols>
  <sheetData>
    <row r="1" ht="14.0">
      <c r="A1" s="1" t="s">
        <v>0</v>
      </c>
      <c r="B1" s="2" t="s">
        <v>1</v>
      </c>
      <c r="C1" s="3" t="s">
        <v>2</v>
      </c>
      <c r="D1" s="2" t="s">
        <v>3</v>
      </c>
      <c r="E1" s="4">
        <v>46104</v>
      </c>
      <c r="F1" s="4">
        <v>46105</v>
      </c>
      <c r="G1" s="4">
        <v>46106</v>
      </c>
      <c r="H1" s="4">
        <v>46107</v>
      </c>
      <c r="I1" s="4">
        <v>46108</v>
      </c>
      <c r="J1" s="4">
        <v>46109</v>
      </c>
      <c r="K1" s="4">
        <v>46111</v>
      </c>
      <c r="L1" s="4">
        <v>46112</v>
      </c>
      <c r="M1" s="4">
        <v>46113</v>
      </c>
      <c r="N1" s="4">
        <v>46114</v>
      </c>
      <c r="O1" s="4">
        <v>46122</v>
      </c>
      <c r="P1" s="4">
        <v>46123</v>
      </c>
      <c r="Q1" s="4">
        <v>46125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CA1" s="5"/>
      <c r="CB1" s="1" t="s">
        <v>4</v>
      </c>
      <c r="CC1" s="1" t="s">
        <v>5</v>
      </c>
      <c r="CD1" s="1" t="s">
        <v>6</v>
      </c>
      <c r="CE1" s="1" t="s">
        <v>7</v>
      </c>
      <c r="CF1" s="1" t="s">
        <v>8</v>
      </c>
      <c r="CG1" s="1" t="s">
        <v>9</v>
      </c>
      <c r="CH1" s="1" t="s">
        <v>10</v>
      </c>
      <c r="CI1" s="1" t="s">
        <v>11</v>
      </c>
      <c r="CJ1" s="1" t="s">
        <v>12</v>
      </c>
      <c r="CK1" s="1" t="s">
        <v>13</v>
      </c>
      <c r="CL1" s="6"/>
    </row>
    <row r="2" ht="15.0">
      <c r="A2" s="1">
        <v>1.0</v>
      </c>
      <c r="B2" s="1" t="s">
        <v>14</v>
      </c>
      <c r="C2" s="1">
        <v>8.0898935E7</v>
      </c>
      <c r="D2" s="7">
        <v>9.150372215E9</v>
      </c>
      <c r="E2" s="1" t="s">
        <v>15</v>
      </c>
      <c r="F2" s="8" t="s">
        <v>15</v>
      </c>
      <c r="G2" s="8" t="s">
        <v>15</v>
      </c>
      <c r="H2" s="8" t="s">
        <v>15</v>
      </c>
      <c r="I2" s="8" t="s">
        <v>15</v>
      </c>
      <c r="J2" s="8" t="s">
        <v>16</v>
      </c>
      <c r="K2" s="1" t="s">
        <v>15</v>
      </c>
      <c r="L2" s="1" t="s">
        <v>15</v>
      </c>
      <c r="M2" s="1" t="s">
        <v>16</v>
      </c>
      <c r="N2" s="1" t="s">
        <v>15</v>
      </c>
      <c r="O2" s="1" t="s">
        <v>16</v>
      </c>
      <c r="P2" s="1" t="s">
        <v>16</v>
      </c>
      <c r="Q2" s="1" t="s">
        <v>15</v>
      </c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CA2" s="5"/>
      <c r="CB2" s="1">
        <f t="shared" ref="CB2:CB31" si="0">COUNTIF(E2:CA2,"P")+COUNTIF(E2:CA2,"HF")*0.5</f>
        <v>9.0</v>
      </c>
      <c r="CC2" s="1">
        <f t="shared" ref="CC2:CC31" si="1">COUNTIF(F2:CA2,"A")</f>
        <v>4.0</v>
      </c>
      <c r="CD2" s="1">
        <v>65.0</v>
      </c>
      <c r="CE2" s="1">
        <f t="shared" ref="CE2:CE31" si="2">COUNTIF(E2:CA2,"P")+COUNTIF(E2:CA2,"HF")+COUNTIF(E2:CA2,"A")</f>
        <v>13.0</v>
      </c>
      <c r="CF2" s="1">
        <f t="shared" ref="CF2:CF31" si="3">CD2-CE2</f>
        <v>52.0</v>
      </c>
      <c r="CG2" s="9">
        <f t="shared" ref="CG2:CG31" si="4">CB2/CE2</f>
        <v>0.692307692307692</v>
      </c>
      <c r="CH2" s="1">
        <v>450.0</v>
      </c>
      <c r="CI2" s="1">
        <f t="shared" ref="CI2:CI31" si="5">CB2*7</f>
        <v>63.0</v>
      </c>
      <c r="CJ2" s="1">
        <f t="shared" ref="CJ2:CJ31" si="6">CE2*7</f>
        <v>91.0</v>
      </c>
      <c r="CK2" s="1">
        <f t="shared" ref="CK2:CK31" si="7">CH2-CJ2</f>
        <v>359.0</v>
      </c>
      <c r="CL2" s="6"/>
    </row>
    <row r="3" ht="15.0">
      <c r="A3" s="1">
        <v>2.0</v>
      </c>
      <c r="B3" s="1" t="s">
        <v>17</v>
      </c>
      <c r="C3" s="1">
        <v>7.2720147E7</v>
      </c>
      <c r="D3" s="7">
        <v>8.838463054E9</v>
      </c>
      <c r="E3" s="1" t="s">
        <v>15</v>
      </c>
      <c r="F3" s="8" t="s">
        <v>15</v>
      </c>
      <c r="G3" s="8" t="s">
        <v>16</v>
      </c>
      <c r="H3" s="8" t="s">
        <v>15</v>
      </c>
      <c r="I3" s="8" t="s">
        <v>15</v>
      </c>
      <c r="J3" s="8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15</v>
      </c>
      <c r="P3" s="1" t="s">
        <v>16</v>
      </c>
      <c r="Q3" s="1" t="s">
        <v>16</v>
      </c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CA3" s="5"/>
      <c r="CB3" s="1">
        <f t="shared" si="0"/>
        <v>5.0</v>
      </c>
      <c r="CC3" s="1">
        <f t="shared" si="1"/>
        <v>8.0</v>
      </c>
      <c r="CD3" s="1">
        <v>65.0</v>
      </c>
      <c r="CE3" s="1">
        <f t="shared" si="2"/>
        <v>13.0</v>
      </c>
      <c r="CF3" s="1">
        <f t="shared" si="3"/>
        <v>52.0</v>
      </c>
      <c r="CG3" s="9">
        <f t="shared" si="4"/>
        <v>0.384615384615384</v>
      </c>
      <c r="CH3" s="1">
        <v>450.0</v>
      </c>
      <c r="CI3" s="1">
        <f t="shared" si="5"/>
        <v>35.0</v>
      </c>
      <c r="CJ3" s="1">
        <f t="shared" si="6"/>
        <v>91.0</v>
      </c>
      <c r="CK3" s="1">
        <f t="shared" si="7"/>
        <v>359.0</v>
      </c>
      <c r="CL3" s="6"/>
    </row>
    <row r="4" ht="15.0">
      <c r="A4" s="1">
        <v>3.0</v>
      </c>
      <c r="B4" s="1" t="s">
        <v>18</v>
      </c>
      <c r="C4" s="1">
        <v>2.3445552E7</v>
      </c>
      <c r="D4" s="7">
        <v>6.381065523E9</v>
      </c>
      <c r="E4" s="1" t="s">
        <v>15</v>
      </c>
      <c r="F4" s="8" t="s">
        <v>15</v>
      </c>
      <c r="G4" s="8" t="s">
        <v>15</v>
      </c>
      <c r="H4" s="8" t="s">
        <v>15</v>
      </c>
      <c r="I4" s="8" t="s">
        <v>15</v>
      </c>
      <c r="J4" s="8" t="s">
        <v>16</v>
      </c>
      <c r="K4" s="1" t="s">
        <v>15</v>
      </c>
      <c r="L4" s="1" t="s">
        <v>16</v>
      </c>
      <c r="M4" s="1" t="s">
        <v>16</v>
      </c>
      <c r="N4" s="1" t="s">
        <v>16</v>
      </c>
      <c r="O4" s="1" t="s">
        <v>16</v>
      </c>
      <c r="P4" s="1" t="s">
        <v>16</v>
      </c>
      <c r="Q4" s="1" t="s">
        <v>16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CA4" s="5"/>
      <c r="CB4" s="1">
        <f t="shared" si="0"/>
        <v>6.0</v>
      </c>
      <c r="CC4" s="1">
        <f t="shared" si="1"/>
        <v>7.0</v>
      </c>
      <c r="CD4" s="1">
        <v>65.0</v>
      </c>
      <c r="CE4" s="1">
        <f t="shared" si="2"/>
        <v>13.0</v>
      </c>
      <c r="CF4" s="1">
        <f t="shared" si="3"/>
        <v>52.0</v>
      </c>
      <c r="CG4" s="9">
        <f t="shared" si="4"/>
        <v>0.461538461538461</v>
      </c>
      <c r="CH4" s="1">
        <v>450.0</v>
      </c>
      <c r="CI4" s="1">
        <f t="shared" si="5"/>
        <v>42.0</v>
      </c>
      <c r="CJ4" s="1">
        <f t="shared" si="6"/>
        <v>91.0</v>
      </c>
      <c r="CK4" s="1">
        <f t="shared" si="7"/>
        <v>359.0</v>
      </c>
      <c r="CL4" s="6"/>
    </row>
    <row r="5" ht="15.0">
      <c r="A5" s="1">
        <v>4.0</v>
      </c>
      <c r="B5" s="1" t="s">
        <v>19</v>
      </c>
      <c r="C5" s="1">
        <v>4.0070716E7</v>
      </c>
      <c r="D5" s="7">
        <v>8.754960257E9</v>
      </c>
      <c r="E5" s="1" t="s">
        <v>16</v>
      </c>
      <c r="F5" s="8" t="s">
        <v>15</v>
      </c>
      <c r="G5" s="8" t="s">
        <v>15</v>
      </c>
      <c r="H5" s="8" t="s">
        <v>15</v>
      </c>
      <c r="I5" s="8" t="s">
        <v>15</v>
      </c>
      <c r="J5" s="8" t="s">
        <v>15</v>
      </c>
      <c r="K5" s="1" t="s">
        <v>15</v>
      </c>
      <c r="L5" s="1" t="s">
        <v>15</v>
      </c>
      <c r="M5" s="1" t="s">
        <v>16</v>
      </c>
      <c r="N5" s="1" t="s">
        <v>15</v>
      </c>
      <c r="O5" s="1" t="s">
        <v>15</v>
      </c>
      <c r="P5" s="1" t="s">
        <v>15</v>
      </c>
      <c r="Q5" s="1" t="s">
        <v>15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CA5" s="5"/>
      <c r="CB5" s="1">
        <f t="shared" si="0"/>
        <v>11.0</v>
      </c>
      <c r="CC5" s="1">
        <f t="shared" si="1"/>
        <v>1.0</v>
      </c>
      <c r="CD5" s="1">
        <v>65.0</v>
      </c>
      <c r="CE5" s="1">
        <f t="shared" si="2"/>
        <v>13.0</v>
      </c>
      <c r="CF5" s="1">
        <f t="shared" si="3"/>
        <v>52.0</v>
      </c>
      <c r="CG5" s="9">
        <f t="shared" si="4"/>
        <v>0.846153846153846</v>
      </c>
      <c r="CH5" s="1">
        <v>450.0</v>
      </c>
      <c r="CI5" s="1">
        <f t="shared" si="5"/>
        <v>77.0</v>
      </c>
      <c r="CJ5" s="1">
        <f t="shared" si="6"/>
        <v>91.0</v>
      </c>
      <c r="CK5" s="1">
        <f t="shared" si="7"/>
        <v>359.0</v>
      </c>
      <c r="CL5" s="6"/>
    </row>
    <row r="6" ht="15.0">
      <c r="A6" s="1">
        <v>5.0</v>
      </c>
      <c r="B6" s="1" t="s">
        <v>20</v>
      </c>
      <c r="C6" s="1">
        <v>2.0473566E7</v>
      </c>
      <c r="D6" s="7">
        <v>7.397425646E9</v>
      </c>
      <c r="E6" s="1" t="s">
        <v>15</v>
      </c>
      <c r="F6" s="8" t="s">
        <v>15</v>
      </c>
      <c r="G6" s="8" t="s">
        <v>15</v>
      </c>
      <c r="H6" s="8" t="s">
        <v>15</v>
      </c>
      <c r="I6" s="8" t="s">
        <v>15</v>
      </c>
      <c r="J6" s="8" t="s">
        <v>15</v>
      </c>
      <c r="K6" s="1" t="s">
        <v>15</v>
      </c>
      <c r="L6" s="1" t="s">
        <v>15</v>
      </c>
      <c r="M6" s="1" t="s">
        <v>16</v>
      </c>
      <c r="N6" s="1" t="s">
        <v>15</v>
      </c>
      <c r="O6" s="1" t="s">
        <v>15</v>
      </c>
      <c r="P6" s="1" t="s">
        <v>15</v>
      </c>
      <c r="Q6" s="1" t="s">
        <v>15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CA6" s="5"/>
      <c r="CB6" s="1">
        <f t="shared" si="0"/>
        <v>12.0</v>
      </c>
      <c r="CC6" s="1">
        <f t="shared" si="1"/>
        <v>1.0</v>
      </c>
      <c r="CD6" s="1">
        <v>65.0</v>
      </c>
      <c r="CE6" s="1">
        <f t="shared" si="2"/>
        <v>13.0</v>
      </c>
      <c r="CF6" s="1">
        <f t="shared" si="3"/>
        <v>52.0</v>
      </c>
      <c r="CG6" s="9">
        <f t="shared" si="4"/>
        <v>0.923076923076923</v>
      </c>
      <c r="CH6" s="1">
        <v>450.0</v>
      </c>
      <c r="CI6" s="1">
        <f t="shared" si="5"/>
        <v>84.0</v>
      </c>
      <c r="CJ6" s="1">
        <f t="shared" si="6"/>
        <v>91.0</v>
      </c>
      <c r="CK6" s="1">
        <f t="shared" si="7"/>
        <v>359.0</v>
      </c>
      <c r="CL6" s="6"/>
    </row>
    <row r="7" ht="15.0">
      <c r="A7" s="1">
        <v>6.0</v>
      </c>
      <c r="B7" s="1" t="s">
        <v>21</v>
      </c>
      <c r="C7" s="1">
        <v>7.9839468E7</v>
      </c>
      <c r="D7" s="7">
        <v>9.025755825E9</v>
      </c>
      <c r="E7" s="1" t="s">
        <v>15</v>
      </c>
      <c r="F7" s="8" t="s">
        <v>15</v>
      </c>
      <c r="G7" s="8" t="s">
        <v>15</v>
      </c>
      <c r="H7" s="8" t="s">
        <v>15</v>
      </c>
      <c r="I7" s="8" t="s">
        <v>15</v>
      </c>
      <c r="J7" s="8" t="s">
        <v>16</v>
      </c>
      <c r="K7" s="1" t="s">
        <v>16</v>
      </c>
      <c r="L7" s="1" t="s">
        <v>22</v>
      </c>
      <c r="M7" s="1" t="s">
        <v>16</v>
      </c>
      <c r="N7" s="1" t="s">
        <v>16</v>
      </c>
      <c r="O7" s="1" t="s">
        <v>16</v>
      </c>
      <c r="P7" s="1" t="s">
        <v>16</v>
      </c>
      <c r="Q7" s="1" t="s">
        <v>16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CA7" s="5"/>
      <c r="CB7" s="1">
        <f t="shared" si="0"/>
        <v>6.0</v>
      </c>
      <c r="CC7" s="1">
        <f t="shared" si="1"/>
        <v>7.0</v>
      </c>
      <c r="CD7" s="1">
        <v>65.0</v>
      </c>
      <c r="CE7" s="1">
        <f t="shared" si="2"/>
        <v>13.0</v>
      </c>
      <c r="CF7" s="1">
        <f t="shared" si="3"/>
        <v>52.0</v>
      </c>
      <c r="CG7" s="9">
        <f t="shared" si="4"/>
        <v>0.461538461538461</v>
      </c>
      <c r="CH7" s="1">
        <v>450.0</v>
      </c>
      <c r="CI7" s="1">
        <f t="shared" si="5"/>
        <v>42.0</v>
      </c>
      <c r="CJ7" s="1">
        <f t="shared" si="6"/>
        <v>91.0</v>
      </c>
      <c r="CK7" s="1">
        <f t="shared" si="7"/>
        <v>359.0</v>
      </c>
      <c r="CL7" s="6"/>
    </row>
    <row r="8" ht="15.0">
      <c r="A8" s="1">
        <v>7.0</v>
      </c>
      <c r="B8" s="10" t="s">
        <v>23</v>
      </c>
      <c r="C8" s="10">
        <v>8.2999701E7</v>
      </c>
      <c r="D8" s="7">
        <v>9.655702138E9</v>
      </c>
      <c r="E8" s="1" t="s">
        <v>15</v>
      </c>
      <c r="F8" s="8" t="s">
        <v>15</v>
      </c>
      <c r="G8" s="8" t="s">
        <v>15</v>
      </c>
      <c r="H8" s="8" t="s">
        <v>15</v>
      </c>
      <c r="I8" s="8" t="s">
        <v>15</v>
      </c>
      <c r="J8" s="8" t="s">
        <v>16</v>
      </c>
      <c r="K8" s="1" t="s">
        <v>16</v>
      </c>
      <c r="L8" s="1" t="s">
        <v>15</v>
      </c>
      <c r="M8" s="1" t="s">
        <v>16</v>
      </c>
      <c r="N8" s="1" t="s">
        <v>15</v>
      </c>
      <c r="O8" s="1" t="s">
        <v>15</v>
      </c>
      <c r="P8" s="1" t="s">
        <v>15</v>
      </c>
      <c r="Q8" s="1" t="s">
        <v>15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CA8" s="5"/>
      <c r="CB8" s="1">
        <f t="shared" si="0"/>
        <v>10.0</v>
      </c>
      <c r="CC8" s="1">
        <f t="shared" si="1"/>
        <v>3.0</v>
      </c>
      <c r="CD8" s="1">
        <v>65.0</v>
      </c>
      <c r="CE8" s="1">
        <f t="shared" si="2"/>
        <v>13.0</v>
      </c>
      <c r="CF8" s="1">
        <f t="shared" si="3"/>
        <v>52.0</v>
      </c>
      <c r="CG8" s="9">
        <f t="shared" si="4"/>
        <v>0.769230769230769</v>
      </c>
      <c r="CH8" s="1">
        <v>450.0</v>
      </c>
      <c r="CI8" s="1">
        <f t="shared" si="5"/>
        <v>70.0</v>
      </c>
      <c r="CJ8" s="1">
        <f t="shared" si="6"/>
        <v>91.0</v>
      </c>
      <c r="CK8" s="1">
        <f t="shared" si="7"/>
        <v>359.0</v>
      </c>
      <c r="CL8" s="6"/>
    </row>
    <row r="9" ht="14.0">
      <c r="A9" s="1">
        <v>8.0</v>
      </c>
      <c r="B9" s="10" t="s">
        <v>24</v>
      </c>
      <c r="C9" s="10">
        <v>2.2553566E7</v>
      </c>
      <c r="D9" s="1">
        <v>6.383869354E9</v>
      </c>
      <c r="E9" s="1" t="s">
        <v>15</v>
      </c>
      <c r="F9" s="8" t="s">
        <v>16</v>
      </c>
      <c r="G9" s="8" t="s">
        <v>16</v>
      </c>
      <c r="H9" s="8" t="s">
        <v>16</v>
      </c>
      <c r="I9" s="8" t="s">
        <v>16</v>
      </c>
      <c r="J9" s="8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  <c r="P9" s="1" t="s">
        <v>16</v>
      </c>
      <c r="Q9" s="1" t="s">
        <v>16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CA9" s="5"/>
      <c r="CB9" s="1">
        <f t="shared" si="0"/>
        <v>1.0</v>
      </c>
      <c r="CC9" s="1">
        <f t="shared" si="1"/>
        <v>12.0</v>
      </c>
      <c r="CD9" s="1">
        <v>65.0</v>
      </c>
      <c r="CE9" s="1">
        <f t="shared" si="2"/>
        <v>13.0</v>
      </c>
      <c r="CF9" s="1">
        <f t="shared" si="3"/>
        <v>52.0</v>
      </c>
      <c r="CG9" s="9">
        <f t="shared" si="4"/>
        <v>0.0769230769230769</v>
      </c>
      <c r="CH9" s="1">
        <v>450.0</v>
      </c>
      <c r="CI9" s="1">
        <f t="shared" si="5"/>
        <v>7.0</v>
      </c>
      <c r="CJ9" s="1">
        <f t="shared" si="6"/>
        <v>91.0</v>
      </c>
      <c r="CK9" s="1">
        <f t="shared" si="7"/>
        <v>359.0</v>
      </c>
      <c r="CL9" s="6"/>
    </row>
    <row r="10" ht="14.0">
      <c r="A10" s="1">
        <v>9.0</v>
      </c>
      <c r="B10" s="11" t="s">
        <v>25</v>
      </c>
      <c r="C10" s="11">
        <v>6686152.0</v>
      </c>
      <c r="D10" s="11">
        <v>8.92502586E9</v>
      </c>
      <c r="E10" s="1" t="s">
        <v>15</v>
      </c>
      <c r="F10" s="8" t="s">
        <v>15</v>
      </c>
      <c r="G10" s="8" t="s">
        <v>15</v>
      </c>
      <c r="H10" s="8" t="s">
        <v>15</v>
      </c>
      <c r="I10" s="8" t="s">
        <v>15</v>
      </c>
      <c r="J10" s="8" t="s">
        <v>16</v>
      </c>
      <c r="K10" s="1" t="s">
        <v>15</v>
      </c>
      <c r="L10" s="1" t="s">
        <v>16</v>
      </c>
      <c r="M10" s="1" t="s">
        <v>16</v>
      </c>
      <c r="N10" s="1" t="s">
        <v>16</v>
      </c>
      <c r="O10" s="1" t="s">
        <v>16</v>
      </c>
      <c r="P10" s="1" t="s">
        <v>16</v>
      </c>
      <c r="Q10" s="1" t="s">
        <v>16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CA10" s="5"/>
      <c r="CB10" s="1">
        <f t="shared" si="0"/>
        <v>6.0</v>
      </c>
      <c r="CC10" s="1">
        <f t="shared" si="1"/>
        <v>7.0</v>
      </c>
      <c r="CD10" s="1">
        <v>65.0</v>
      </c>
      <c r="CE10" s="1">
        <f t="shared" si="2"/>
        <v>13.0</v>
      </c>
      <c r="CF10" s="1">
        <f t="shared" si="3"/>
        <v>52.0</v>
      </c>
      <c r="CG10" s="9">
        <f t="shared" si="4"/>
        <v>0.461538461538461</v>
      </c>
      <c r="CH10" s="1">
        <v>450.0</v>
      </c>
      <c r="CI10" s="1">
        <f t="shared" si="5"/>
        <v>42.0</v>
      </c>
      <c r="CJ10" s="1">
        <f t="shared" si="6"/>
        <v>91.0</v>
      </c>
      <c r="CK10" s="1">
        <f t="shared" si="7"/>
        <v>359.0</v>
      </c>
      <c r="CL10" s="6"/>
    </row>
    <row r="11" ht="14.0">
      <c r="A11" s="1">
        <v>10.0</v>
      </c>
      <c r="B11" s="11" t="s">
        <v>26</v>
      </c>
      <c r="C11" s="11">
        <v>1.0173904E7</v>
      </c>
      <c r="D11" s="11">
        <v>9.345444108E9</v>
      </c>
      <c r="E11" s="1" t="s">
        <v>15</v>
      </c>
      <c r="F11" s="8" t="s">
        <v>15</v>
      </c>
      <c r="G11" s="8" t="s">
        <v>15</v>
      </c>
      <c r="H11" s="8" t="s">
        <v>15</v>
      </c>
      <c r="I11" s="8" t="s">
        <v>15</v>
      </c>
      <c r="J11" s="8" t="s">
        <v>15</v>
      </c>
      <c r="K11" s="1" t="s">
        <v>16</v>
      </c>
      <c r="L11" s="1" t="s">
        <v>15</v>
      </c>
      <c r="M11" s="1" t="s">
        <v>16</v>
      </c>
      <c r="N11" s="1" t="s">
        <v>15</v>
      </c>
      <c r="O11" s="1" t="s">
        <v>16</v>
      </c>
      <c r="P11" s="1" t="s">
        <v>15</v>
      </c>
      <c r="Q11" s="1" t="s">
        <v>15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CA11" s="5"/>
      <c r="CB11" s="1">
        <f t="shared" si="0"/>
        <v>10.0</v>
      </c>
      <c r="CC11" s="1">
        <f t="shared" si="1"/>
        <v>3.0</v>
      </c>
      <c r="CD11" s="1">
        <v>65.0</v>
      </c>
      <c r="CE11" s="1">
        <f t="shared" si="2"/>
        <v>13.0</v>
      </c>
      <c r="CF11" s="1">
        <f t="shared" si="3"/>
        <v>52.0</v>
      </c>
      <c r="CG11" s="9">
        <f t="shared" si="4"/>
        <v>0.769230769230769</v>
      </c>
      <c r="CH11" s="1">
        <v>450.0</v>
      </c>
      <c r="CI11" s="1">
        <f t="shared" si="5"/>
        <v>70.0</v>
      </c>
      <c r="CJ11" s="1">
        <f t="shared" si="6"/>
        <v>91.0</v>
      </c>
      <c r="CK11" s="1">
        <f t="shared" si="7"/>
        <v>359.0</v>
      </c>
      <c r="CL11" s="6"/>
    </row>
    <row r="12" ht="14.0">
      <c r="A12" s="1">
        <v>11.0</v>
      </c>
      <c r="B12" s="11" t="s">
        <v>27</v>
      </c>
      <c r="C12" s="11">
        <v>2.7391383E7</v>
      </c>
      <c r="D12" s="11">
        <v>7.338759144E9</v>
      </c>
      <c r="E12" s="1" t="s">
        <v>15</v>
      </c>
      <c r="F12" s="8" t="s">
        <v>15</v>
      </c>
      <c r="G12" s="8" t="s">
        <v>15</v>
      </c>
      <c r="H12" s="8" t="s">
        <v>15</v>
      </c>
      <c r="I12" s="8" t="s">
        <v>15</v>
      </c>
      <c r="J12" s="8" t="s">
        <v>16</v>
      </c>
      <c r="K12" s="1" t="s">
        <v>15</v>
      </c>
      <c r="L12" s="1" t="s">
        <v>16</v>
      </c>
      <c r="M12" s="1" t="s">
        <v>16</v>
      </c>
      <c r="N12" s="1" t="s">
        <v>16</v>
      </c>
      <c r="O12" s="1" t="s">
        <v>16</v>
      </c>
      <c r="P12" s="1" t="s">
        <v>16</v>
      </c>
      <c r="Q12" s="1" t="s">
        <v>16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CA12" s="5"/>
      <c r="CB12" s="1">
        <f t="shared" si="0"/>
        <v>6.0</v>
      </c>
      <c r="CC12" s="1">
        <f t="shared" si="1"/>
        <v>7.0</v>
      </c>
      <c r="CD12" s="1">
        <v>65.0</v>
      </c>
      <c r="CE12" s="1">
        <f t="shared" si="2"/>
        <v>13.0</v>
      </c>
      <c r="CF12" s="1">
        <f t="shared" si="3"/>
        <v>52.0</v>
      </c>
      <c r="CG12" s="9">
        <f t="shared" si="4"/>
        <v>0.461538461538461</v>
      </c>
      <c r="CH12" s="1">
        <v>450.0</v>
      </c>
      <c r="CI12" s="1">
        <f t="shared" si="5"/>
        <v>42.0</v>
      </c>
      <c r="CJ12" s="1">
        <f t="shared" si="6"/>
        <v>91.0</v>
      </c>
      <c r="CK12" s="1">
        <f t="shared" si="7"/>
        <v>359.0</v>
      </c>
      <c r="CL12" s="6"/>
    </row>
    <row r="13" ht="14.0">
      <c r="A13" s="1">
        <v>12.0</v>
      </c>
      <c r="B13" s="11" t="s">
        <v>28</v>
      </c>
      <c r="C13" s="11">
        <v>9131513.0</v>
      </c>
      <c r="D13" s="11">
        <v>6.385261316E9</v>
      </c>
      <c r="E13" s="1" t="s">
        <v>15</v>
      </c>
      <c r="F13" s="8" t="s">
        <v>15</v>
      </c>
      <c r="G13" s="8" t="s">
        <v>15</v>
      </c>
      <c r="H13" s="8" t="s">
        <v>15</v>
      </c>
      <c r="I13" s="8" t="s">
        <v>16</v>
      </c>
      <c r="J13" s="8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  <c r="P13" s="1" t="s">
        <v>16</v>
      </c>
      <c r="Q13" s="1" t="s">
        <v>16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CA13" s="5"/>
      <c r="CB13" s="1">
        <f t="shared" si="0"/>
        <v>4.0</v>
      </c>
      <c r="CC13" s="1">
        <f t="shared" si="1"/>
        <v>9.0</v>
      </c>
      <c r="CD13" s="1">
        <v>65.0</v>
      </c>
      <c r="CE13" s="1">
        <f t="shared" si="2"/>
        <v>13.0</v>
      </c>
      <c r="CF13" s="1">
        <f t="shared" si="3"/>
        <v>52.0</v>
      </c>
      <c r="CG13" s="9">
        <f t="shared" si="4"/>
        <v>0.307692307692308</v>
      </c>
      <c r="CH13" s="1">
        <v>450.0</v>
      </c>
      <c r="CI13" s="1">
        <f t="shared" si="5"/>
        <v>28.0</v>
      </c>
      <c r="CJ13" s="1">
        <f t="shared" si="6"/>
        <v>91.0</v>
      </c>
      <c r="CK13" s="1">
        <f t="shared" si="7"/>
        <v>359.0</v>
      </c>
      <c r="CL13" s="6"/>
    </row>
    <row r="14" ht="14.0">
      <c r="A14" s="1">
        <v>13.0</v>
      </c>
      <c r="B14" s="11" t="s">
        <v>29</v>
      </c>
      <c r="C14" s="11">
        <v>6.4923567E7</v>
      </c>
      <c r="D14" s="11">
        <v>9.342344413E9</v>
      </c>
      <c r="E14" s="1" t="s">
        <v>22</v>
      </c>
      <c r="F14" s="8" t="s">
        <v>16</v>
      </c>
      <c r="G14" s="8" t="s">
        <v>15</v>
      </c>
      <c r="H14" s="8" t="s">
        <v>16</v>
      </c>
      <c r="I14" s="8" t="s">
        <v>16</v>
      </c>
      <c r="J14" s="8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  <c r="P14" s="1" t="s">
        <v>16</v>
      </c>
      <c r="Q14" s="1" t="s">
        <v>16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CA14" s="5"/>
      <c r="CB14" s="1">
        <f t="shared" si="0"/>
        <v>2.0</v>
      </c>
      <c r="CC14" s="1">
        <f t="shared" si="1"/>
        <v>11.0</v>
      </c>
      <c r="CD14" s="1">
        <v>65.0</v>
      </c>
      <c r="CE14" s="1">
        <f t="shared" si="2"/>
        <v>13.0</v>
      </c>
      <c r="CF14" s="1">
        <f t="shared" si="3"/>
        <v>52.0</v>
      </c>
      <c r="CG14" s="9">
        <f t="shared" si="4"/>
        <v>0.153846153846153</v>
      </c>
      <c r="CH14" s="1">
        <v>450.0</v>
      </c>
      <c r="CI14" s="1">
        <f t="shared" si="5"/>
        <v>14.0</v>
      </c>
      <c r="CJ14" s="1">
        <f t="shared" si="6"/>
        <v>91.0</v>
      </c>
      <c r="CK14" s="1">
        <f t="shared" si="7"/>
        <v>359.0</v>
      </c>
      <c r="CL14" s="6"/>
    </row>
    <row r="15" ht="14.0">
      <c r="A15" s="1">
        <v>14.0</v>
      </c>
      <c r="B15" s="11" t="s">
        <v>30</v>
      </c>
      <c r="C15" s="11">
        <v>9.6529003E7</v>
      </c>
      <c r="D15" s="11">
        <v>9.952228764E9</v>
      </c>
      <c r="E15" s="1" t="s">
        <v>15</v>
      </c>
      <c r="F15" s="8" t="s">
        <v>15</v>
      </c>
      <c r="G15" s="8" t="s">
        <v>15</v>
      </c>
      <c r="H15" s="8" t="s">
        <v>15</v>
      </c>
      <c r="I15" s="8" t="s">
        <v>15</v>
      </c>
      <c r="J15" s="8" t="s">
        <v>15</v>
      </c>
      <c r="K15" s="1" t="s">
        <v>15</v>
      </c>
      <c r="L15" s="1" t="s">
        <v>16</v>
      </c>
      <c r="M15" s="1" t="s">
        <v>15</v>
      </c>
      <c r="N15" s="1" t="s">
        <v>16</v>
      </c>
      <c r="O15" s="1" t="s">
        <v>15</v>
      </c>
      <c r="P15" s="1" t="s">
        <v>15</v>
      </c>
      <c r="Q15" s="1" t="s">
        <v>16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CA15" s="5"/>
      <c r="CB15" s="1">
        <f t="shared" si="0"/>
        <v>10.0</v>
      </c>
      <c r="CC15" s="1">
        <f t="shared" si="1"/>
        <v>3.0</v>
      </c>
      <c r="CD15" s="1">
        <v>65.0</v>
      </c>
      <c r="CE15" s="1">
        <f t="shared" si="2"/>
        <v>13.0</v>
      </c>
      <c r="CF15" s="1">
        <f t="shared" si="3"/>
        <v>52.0</v>
      </c>
      <c r="CG15" s="9">
        <f t="shared" si="4"/>
        <v>0.769230769230769</v>
      </c>
      <c r="CH15" s="1">
        <v>450.0</v>
      </c>
      <c r="CI15" s="1">
        <f t="shared" si="5"/>
        <v>70.0</v>
      </c>
      <c r="CJ15" s="1">
        <f t="shared" si="6"/>
        <v>91.0</v>
      </c>
      <c r="CK15" s="1">
        <f t="shared" si="7"/>
        <v>359.0</v>
      </c>
      <c r="CL15" s="6"/>
    </row>
    <row r="16" ht="14.0">
      <c r="A16" s="1">
        <v>15.0</v>
      </c>
      <c r="B16" s="11" t="s">
        <v>31</v>
      </c>
      <c r="C16" s="11">
        <v>5.6807542E7</v>
      </c>
      <c r="D16" s="11">
        <v>9.361438977E9</v>
      </c>
      <c r="E16" s="1" t="s">
        <v>15</v>
      </c>
      <c r="F16" s="8" t="s">
        <v>15</v>
      </c>
      <c r="G16" s="8" t="s">
        <v>15</v>
      </c>
      <c r="H16" s="8" t="s">
        <v>16</v>
      </c>
      <c r="I16" s="8" t="s">
        <v>16</v>
      </c>
      <c r="J16" s="8" t="s">
        <v>16</v>
      </c>
      <c r="K16" s="1" t="s">
        <v>15</v>
      </c>
      <c r="L16" s="1" t="s">
        <v>16</v>
      </c>
      <c r="M16" s="1" t="s">
        <v>15</v>
      </c>
      <c r="N16" s="1" t="s">
        <v>15</v>
      </c>
      <c r="O16" s="1" t="s">
        <v>16</v>
      </c>
      <c r="P16" s="1" t="s">
        <v>16</v>
      </c>
      <c r="Q16" s="1" t="s">
        <v>16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CA16" s="5"/>
      <c r="CB16" s="1">
        <f t="shared" si="0"/>
        <v>6.0</v>
      </c>
      <c r="CC16" s="1">
        <f t="shared" si="1"/>
        <v>7.0</v>
      </c>
      <c r="CD16" s="1">
        <v>65.0</v>
      </c>
      <c r="CE16" s="1">
        <f t="shared" si="2"/>
        <v>13.0</v>
      </c>
      <c r="CF16" s="1">
        <f t="shared" si="3"/>
        <v>52.0</v>
      </c>
      <c r="CG16" s="9">
        <f t="shared" si="4"/>
        <v>0.461538461538461</v>
      </c>
      <c r="CH16" s="1">
        <v>450.0</v>
      </c>
      <c r="CI16" s="1">
        <f t="shared" si="5"/>
        <v>42.0</v>
      </c>
      <c r="CJ16" s="1">
        <f t="shared" si="6"/>
        <v>91.0</v>
      </c>
      <c r="CK16" s="1">
        <f t="shared" si="7"/>
        <v>359.0</v>
      </c>
      <c r="CL16" s="6"/>
    </row>
    <row r="17" ht="14.0">
      <c r="A17" s="1">
        <v>16.0</v>
      </c>
      <c r="B17" s="11" t="s">
        <v>32</v>
      </c>
      <c r="C17" s="11">
        <v>9.3510259E7</v>
      </c>
      <c r="D17" s="11">
        <v>9.080475276E9</v>
      </c>
      <c r="E17" s="1" t="s">
        <v>15</v>
      </c>
      <c r="F17" s="8" t="s">
        <v>15</v>
      </c>
      <c r="G17" s="8" t="s">
        <v>15</v>
      </c>
      <c r="H17" s="8" t="s">
        <v>15</v>
      </c>
      <c r="I17" s="8" t="s">
        <v>15</v>
      </c>
      <c r="J17" s="8" t="s">
        <v>16</v>
      </c>
      <c r="K17" s="1" t="s">
        <v>15</v>
      </c>
      <c r="L17" s="1" t="s">
        <v>16</v>
      </c>
      <c r="M17" s="1" t="s">
        <v>16</v>
      </c>
      <c r="N17" s="1" t="s">
        <v>16</v>
      </c>
      <c r="O17" s="1" t="s">
        <v>16</v>
      </c>
      <c r="P17" s="1" t="s">
        <v>16</v>
      </c>
      <c r="Q17" s="1" t="s">
        <v>16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CA17" s="5"/>
      <c r="CB17" s="1">
        <f t="shared" si="0"/>
        <v>6.0</v>
      </c>
      <c r="CC17" s="1">
        <f t="shared" si="1"/>
        <v>7.0</v>
      </c>
      <c r="CD17" s="1">
        <v>65.0</v>
      </c>
      <c r="CE17" s="1">
        <f t="shared" si="2"/>
        <v>13.0</v>
      </c>
      <c r="CF17" s="1">
        <f t="shared" si="3"/>
        <v>52.0</v>
      </c>
      <c r="CG17" s="9">
        <f t="shared" si="4"/>
        <v>0.461538461538461</v>
      </c>
      <c r="CH17" s="1">
        <v>450.0</v>
      </c>
      <c r="CI17" s="1">
        <f t="shared" si="5"/>
        <v>42.0</v>
      </c>
      <c r="CJ17" s="1">
        <f t="shared" si="6"/>
        <v>91.0</v>
      </c>
      <c r="CK17" s="1">
        <f t="shared" si="7"/>
        <v>359.0</v>
      </c>
      <c r="CL17" s="6"/>
    </row>
    <row r="18" ht="14.0">
      <c r="A18" s="1">
        <v>17.0</v>
      </c>
      <c r="B18" s="11" t="s">
        <v>33</v>
      </c>
      <c r="C18" s="11">
        <v>5.9078602E7</v>
      </c>
      <c r="D18" s="11">
        <v>8.838003723E9</v>
      </c>
      <c r="E18" s="1" t="s">
        <v>15</v>
      </c>
      <c r="F18" s="8" t="s">
        <v>15</v>
      </c>
      <c r="G18" s="8" t="s">
        <v>15</v>
      </c>
      <c r="H18" s="8" t="s">
        <v>16</v>
      </c>
      <c r="I18" s="8" t="s">
        <v>15</v>
      </c>
      <c r="J18" s="8" t="s">
        <v>15</v>
      </c>
      <c r="K18" s="1" t="s">
        <v>15</v>
      </c>
      <c r="L18" s="1" t="s">
        <v>15</v>
      </c>
      <c r="M18" s="1" t="s">
        <v>16</v>
      </c>
      <c r="N18" s="1" t="s">
        <v>15</v>
      </c>
      <c r="O18" s="1" t="s">
        <v>16</v>
      </c>
      <c r="P18" s="1" t="s">
        <v>16</v>
      </c>
      <c r="Q18" s="1" t="s">
        <v>15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CA18" s="5"/>
      <c r="CB18" s="1">
        <f t="shared" si="0"/>
        <v>9.0</v>
      </c>
      <c r="CC18" s="1">
        <f t="shared" si="1"/>
        <v>4.0</v>
      </c>
      <c r="CD18" s="1">
        <v>65.0</v>
      </c>
      <c r="CE18" s="1">
        <f t="shared" si="2"/>
        <v>13.0</v>
      </c>
      <c r="CF18" s="1">
        <f t="shared" si="3"/>
        <v>52.0</v>
      </c>
      <c r="CG18" s="9">
        <f t="shared" si="4"/>
        <v>0.692307692307692</v>
      </c>
      <c r="CH18" s="1">
        <v>450.0</v>
      </c>
      <c r="CI18" s="1">
        <f t="shared" si="5"/>
        <v>63.0</v>
      </c>
      <c r="CJ18" s="1">
        <f t="shared" si="6"/>
        <v>91.0</v>
      </c>
      <c r="CK18" s="1">
        <f t="shared" si="7"/>
        <v>359.0</v>
      </c>
      <c r="CL18" s="6"/>
    </row>
    <row r="19" ht="14.0">
      <c r="A19" s="1">
        <v>18.0</v>
      </c>
      <c r="B19" s="11" t="s">
        <v>34</v>
      </c>
      <c r="C19" s="11">
        <v>3.0855993E7</v>
      </c>
      <c r="D19" s="11">
        <v>9.940691366E9</v>
      </c>
      <c r="E19" s="1" t="s">
        <v>15</v>
      </c>
      <c r="F19" s="8" t="s">
        <v>15</v>
      </c>
      <c r="G19" s="8" t="s">
        <v>15</v>
      </c>
      <c r="H19" s="8" t="s">
        <v>15</v>
      </c>
      <c r="I19" s="8" t="s">
        <v>16</v>
      </c>
      <c r="J19" s="8" t="s">
        <v>16</v>
      </c>
      <c r="K19" s="1" t="s">
        <v>15</v>
      </c>
      <c r="L19" s="1" t="s">
        <v>16</v>
      </c>
      <c r="M19" s="1" t="s">
        <v>16</v>
      </c>
      <c r="N19" s="1" t="s">
        <v>16</v>
      </c>
      <c r="O19" s="1" t="s">
        <v>15</v>
      </c>
      <c r="P19" s="1" t="s">
        <v>15</v>
      </c>
      <c r="Q19" s="1" t="s">
        <v>15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CA19" s="5"/>
      <c r="CB19" s="1">
        <f t="shared" si="0"/>
        <v>8.0</v>
      </c>
      <c r="CC19" s="1">
        <f t="shared" si="1"/>
        <v>5.0</v>
      </c>
      <c r="CD19" s="1">
        <v>65.0</v>
      </c>
      <c r="CE19" s="1">
        <f t="shared" si="2"/>
        <v>13.0</v>
      </c>
      <c r="CF19" s="1">
        <f t="shared" si="3"/>
        <v>52.0</v>
      </c>
      <c r="CG19" s="9">
        <f t="shared" si="4"/>
        <v>0.615384615384615</v>
      </c>
      <c r="CH19" s="1">
        <v>450.0</v>
      </c>
      <c r="CI19" s="1">
        <f t="shared" si="5"/>
        <v>56.0</v>
      </c>
      <c r="CJ19" s="1">
        <f t="shared" si="6"/>
        <v>91.0</v>
      </c>
      <c r="CK19" s="1">
        <f t="shared" si="7"/>
        <v>359.0</v>
      </c>
      <c r="CL19" s="6"/>
    </row>
    <row r="20" ht="14.0">
      <c r="A20" s="1">
        <v>19.0</v>
      </c>
      <c r="B20" s="11" t="s">
        <v>35</v>
      </c>
      <c r="C20" s="11">
        <v>9.0439E7</v>
      </c>
      <c r="D20" s="11">
        <v>6.379361569E9</v>
      </c>
      <c r="E20" s="1" t="s">
        <v>15</v>
      </c>
      <c r="F20" s="8" t="s">
        <v>15</v>
      </c>
      <c r="G20" s="8" t="s">
        <v>15</v>
      </c>
      <c r="H20" s="8" t="s">
        <v>15</v>
      </c>
      <c r="I20" s="8" t="s">
        <v>15</v>
      </c>
      <c r="J20" s="8" t="s">
        <v>15</v>
      </c>
      <c r="K20" s="1" t="s">
        <v>15</v>
      </c>
      <c r="L20" s="1" t="s">
        <v>15</v>
      </c>
      <c r="M20" s="1" t="s">
        <v>16</v>
      </c>
      <c r="N20" s="1" t="s">
        <v>15</v>
      </c>
      <c r="O20" s="1" t="s">
        <v>15</v>
      </c>
      <c r="P20" s="1" t="s">
        <v>15</v>
      </c>
      <c r="Q20" s="1" t="s">
        <v>15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CA20" s="5"/>
      <c r="CB20" s="1">
        <f t="shared" si="0"/>
        <v>12.0</v>
      </c>
      <c r="CC20" s="1">
        <f t="shared" si="1"/>
        <v>1.0</v>
      </c>
      <c r="CD20" s="1">
        <v>65.0</v>
      </c>
      <c r="CE20" s="1">
        <f t="shared" si="2"/>
        <v>13.0</v>
      </c>
      <c r="CF20" s="1">
        <f t="shared" si="3"/>
        <v>52.0</v>
      </c>
      <c r="CG20" s="9">
        <f t="shared" si="4"/>
        <v>0.923076923076923</v>
      </c>
      <c r="CH20" s="1">
        <v>450.0</v>
      </c>
      <c r="CI20" s="1">
        <f t="shared" si="5"/>
        <v>84.0</v>
      </c>
      <c r="CJ20" s="1">
        <f t="shared" si="6"/>
        <v>91.0</v>
      </c>
      <c r="CK20" s="1">
        <f t="shared" si="7"/>
        <v>359.0</v>
      </c>
      <c r="CL20" s="6"/>
    </row>
    <row r="21" ht="14.0">
      <c r="A21" s="1">
        <v>20.0</v>
      </c>
      <c r="B21" s="11" t="s">
        <v>36</v>
      </c>
      <c r="C21" s="11">
        <v>1.9928464E7</v>
      </c>
      <c r="D21" s="11">
        <v>9.840206357E9</v>
      </c>
      <c r="E21" s="1" t="s">
        <v>15</v>
      </c>
      <c r="F21" s="8" t="s">
        <v>15</v>
      </c>
      <c r="G21" s="8" t="s">
        <v>15</v>
      </c>
      <c r="H21" s="8" t="s">
        <v>15</v>
      </c>
      <c r="I21" s="8" t="s">
        <v>15</v>
      </c>
      <c r="J21" s="8" t="s">
        <v>16</v>
      </c>
      <c r="K21" s="1" t="s">
        <v>15</v>
      </c>
      <c r="L21" s="1" t="s">
        <v>16</v>
      </c>
      <c r="M21" s="1" t="s">
        <v>15</v>
      </c>
      <c r="N21" s="1" t="s">
        <v>15</v>
      </c>
      <c r="O21" s="1" t="s">
        <v>15</v>
      </c>
      <c r="P21" s="1" t="s">
        <v>16</v>
      </c>
      <c r="Q21" s="1" t="s">
        <v>16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CA21" s="5"/>
      <c r="CB21" s="1">
        <f t="shared" si="0"/>
        <v>9.0</v>
      </c>
      <c r="CC21" s="1">
        <f t="shared" si="1"/>
        <v>4.0</v>
      </c>
      <c r="CD21" s="1">
        <v>65.0</v>
      </c>
      <c r="CE21" s="1">
        <f t="shared" si="2"/>
        <v>13.0</v>
      </c>
      <c r="CF21" s="1">
        <f t="shared" si="3"/>
        <v>52.0</v>
      </c>
      <c r="CG21" s="9">
        <f t="shared" si="4"/>
        <v>0.692307692307692</v>
      </c>
      <c r="CH21" s="1">
        <v>450.0</v>
      </c>
      <c r="CI21" s="1">
        <f t="shared" si="5"/>
        <v>63.0</v>
      </c>
      <c r="CJ21" s="1">
        <f t="shared" si="6"/>
        <v>91.0</v>
      </c>
      <c r="CK21" s="1">
        <f t="shared" si="7"/>
        <v>359.0</v>
      </c>
      <c r="CL21" s="6"/>
    </row>
    <row r="22" ht="14.0">
      <c r="A22" s="1">
        <v>21.0</v>
      </c>
      <c r="B22" s="11" t="s">
        <v>37</v>
      </c>
      <c r="C22" s="11">
        <v>8.8731905E7</v>
      </c>
      <c r="D22" s="11">
        <v>7.358258986E9</v>
      </c>
      <c r="E22" s="1" t="s">
        <v>15</v>
      </c>
      <c r="F22" s="8" t="s">
        <v>15</v>
      </c>
      <c r="G22" s="8" t="s">
        <v>15</v>
      </c>
      <c r="H22" s="8" t="s">
        <v>15</v>
      </c>
      <c r="I22" s="8" t="s">
        <v>15</v>
      </c>
      <c r="J22" s="8" t="s">
        <v>16</v>
      </c>
      <c r="K22" s="1" t="s">
        <v>15</v>
      </c>
      <c r="L22" s="1" t="s">
        <v>16</v>
      </c>
      <c r="M22" s="1" t="s">
        <v>15</v>
      </c>
      <c r="N22" s="1" t="s">
        <v>15</v>
      </c>
      <c r="O22" s="1" t="s">
        <v>15</v>
      </c>
      <c r="P22" s="1" t="s">
        <v>16</v>
      </c>
      <c r="Q22" s="1" t="s">
        <v>16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CA22" s="5"/>
      <c r="CB22" s="1">
        <f t="shared" si="0"/>
        <v>9.0</v>
      </c>
      <c r="CC22" s="1">
        <f t="shared" si="1"/>
        <v>4.0</v>
      </c>
      <c r="CD22" s="1">
        <v>65.0</v>
      </c>
      <c r="CE22" s="1">
        <f t="shared" si="2"/>
        <v>13.0</v>
      </c>
      <c r="CF22" s="1">
        <f t="shared" si="3"/>
        <v>52.0</v>
      </c>
      <c r="CG22" s="9">
        <f t="shared" si="4"/>
        <v>0.692307692307692</v>
      </c>
      <c r="CH22" s="1">
        <v>450.0</v>
      </c>
      <c r="CI22" s="1">
        <f t="shared" si="5"/>
        <v>63.0</v>
      </c>
      <c r="CJ22" s="1">
        <f t="shared" si="6"/>
        <v>91.0</v>
      </c>
      <c r="CK22" s="1">
        <f t="shared" si="7"/>
        <v>359.0</v>
      </c>
      <c r="CL22" s="6"/>
    </row>
    <row r="23" ht="14.0">
      <c r="A23" s="1">
        <v>22.0</v>
      </c>
      <c r="B23" s="11" t="s">
        <v>38</v>
      </c>
      <c r="C23" s="11">
        <v>1.8292738E7</v>
      </c>
      <c r="D23" s="11">
        <v>8.0727463E9</v>
      </c>
      <c r="E23" s="1" t="s">
        <v>15</v>
      </c>
      <c r="F23" s="8" t="s">
        <v>15</v>
      </c>
      <c r="G23" s="8" t="s">
        <v>15</v>
      </c>
      <c r="H23" s="8" t="s">
        <v>16</v>
      </c>
      <c r="I23" s="8" t="s">
        <v>16</v>
      </c>
      <c r="J23" s="8" t="s">
        <v>16</v>
      </c>
      <c r="K23" s="1" t="s">
        <v>15</v>
      </c>
      <c r="L23" s="1" t="s">
        <v>16</v>
      </c>
      <c r="M23" s="1" t="s">
        <v>16</v>
      </c>
      <c r="N23" s="1" t="s">
        <v>16</v>
      </c>
      <c r="O23" s="1" t="s">
        <v>15</v>
      </c>
      <c r="P23" s="1" t="s">
        <v>16</v>
      </c>
      <c r="Q23" s="1" t="s">
        <v>16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CA23" s="5"/>
      <c r="CB23" s="1">
        <f t="shared" si="0"/>
        <v>5.0</v>
      </c>
      <c r="CC23" s="1">
        <f t="shared" si="1"/>
        <v>8.0</v>
      </c>
      <c r="CD23" s="1">
        <v>65.0</v>
      </c>
      <c r="CE23" s="1">
        <f t="shared" si="2"/>
        <v>13.0</v>
      </c>
      <c r="CF23" s="1">
        <f t="shared" si="3"/>
        <v>52.0</v>
      </c>
      <c r="CG23" s="9">
        <f t="shared" si="4"/>
        <v>0.384615384615384</v>
      </c>
      <c r="CH23" s="1">
        <v>450.0</v>
      </c>
      <c r="CI23" s="1">
        <f t="shared" si="5"/>
        <v>35.0</v>
      </c>
      <c r="CJ23" s="1">
        <f t="shared" si="6"/>
        <v>91.0</v>
      </c>
      <c r="CK23" s="1">
        <f t="shared" si="7"/>
        <v>359.0</v>
      </c>
      <c r="CL23" s="6"/>
    </row>
    <row r="24" ht="14.0">
      <c r="A24" s="1">
        <v>23.0</v>
      </c>
      <c r="B24" s="1" t="s">
        <v>39</v>
      </c>
      <c r="C24" s="11">
        <v>6.6333344E7</v>
      </c>
      <c r="D24" s="11">
        <v>6.374159626E9</v>
      </c>
      <c r="E24" s="1" t="s">
        <v>15</v>
      </c>
      <c r="F24" s="8" t="s">
        <v>15</v>
      </c>
      <c r="G24" s="8" t="s">
        <v>15</v>
      </c>
      <c r="H24" s="8" t="s">
        <v>15</v>
      </c>
      <c r="I24" s="8" t="s">
        <v>15</v>
      </c>
      <c r="J24" s="8" t="s">
        <v>16</v>
      </c>
      <c r="K24" s="1" t="s">
        <v>15</v>
      </c>
      <c r="L24" s="1" t="s">
        <v>16</v>
      </c>
      <c r="M24" s="1" t="s">
        <v>15</v>
      </c>
      <c r="N24" s="1" t="s">
        <v>16</v>
      </c>
      <c r="O24" s="1" t="s">
        <v>16</v>
      </c>
      <c r="P24" s="1" t="s">
        <v>16</v>
      </c>
      <c r="Q24" s="1" t="s">
        <v>16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CA24" s="5"/>
      <c r="CB24" s="1">
        <f t="shared" si="0"/>
        <v>7.0</v>
      </c>
      <c r="CC24" s="1">
        <f t="shared" si="1"/>
        <v>6.0</v>
      </c>
      <c r="CD24" s="1">
        <v>65.0</v>
      </c>
      <c r="CE24" s="1">
        <f t="shared" si="2"/>
        <v>13.0</v>
      </c>
      <c r="CF24" s="1">
        <f t="shared" si="3"/>
        <v>52.0</v>
      </c>
      <c r="CG24" s="9">
        <f t="shared" si="4"/>
        <v>0.538461538461538</v>
      </c>
      <c r="CH24" s="1">
        <v>450.0</v>
      </c>
      <c r="CI24" s="1">
        <f t="shared" si="5"/>
        <v>49.0</v>
      </c>
      <c r="CJ24" s="1">
        <f t="shared" si="6"/>
        <v>91.0</v>
      </c>
      <c r="CK24" s="1">
        <f t="shared" si="7"/>
        <v>359.0</v>
      </c>
      <c r="CL24" s="6"/>
    </row>
    <row r="25" ht="14.0">
      <c r="A25" s="1">
        <v>24.0</v>
      </c>
      <c r="B25" s="1" t="s">
        <v>40</v>
      </c>
      <c r="C25" s="11">
        <v>6.2852742E7</v>
      </c>
      <c r="D25" s="11">
        <v>8.925358169E9</v>
      </c>
      <c r="E25" s="1" t="s">
        <v>15</v>
      </c>
      <c r="F25" s="8" t="s">
        <v>15</v>
      </c>
      <c r="G25" s="8" t="s">
        <v>15</v>
      </c>
      <c r="H25" s="8" t="s">
        <v>15</v>
      </c>
      <c r="I25" s="8" t="s">
        <v>15</v>
      </c>
      <c r="J25" s="8" t="s">
        <v>16</v>
      </c>
      <c r="K25" s="1" t="s">
        <v>15</v>
      </c>
      <c r="L25" s="1" t="s">
        <v>16</v>
      </c>
      <c r="M25" s="1" t="s">
        <v>15</v>
      </c>
      <c r="N25" s="1" t="s">
        <v>15</v>
      </c>
      <c r="O25" s="1" t="s">
        <v>15</v>
      </c>
      <c r="P25" s="1" t="s">
        <v>16</v>
      </c>
      <c r="Q25" s="1" t="s">
        <v>16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CA25" s="5"/>
      <c r="CB25" s="1">
        <f t="shared" si="0"/>
        <v>9.0</v>
      </c>
      <c r="CC25" s="1">
        <f t="shared" si="1"/>
        <v>4.0</v>
      </c>
      <c r="CD25" s="1">
        <v>65.0</v>
      </c>
      <c r="CE25" s="1">
        <f t="shared" si="2"/>
        <v>13.0</v>
      </c>
      <c r="CF25" s="1">
        <f t="shared" si="3"/>
        <v>52.0</v>
      </c>
      <c r="CG25" s="9">
        <f t="shared" si="4"/>
        <v>0.692307692307692</v>
      </c>
      <c r="CH25" s="1">
        <v>450.0</v>
      </c>
      <c r="CI25" s="1">
        <f t="shared" si="5"/>
        <v>63.0</v>
      </c>
      <c r="CJ25" s="1">
        <f t="shared" si="6"/>
        <v>91.0</v>
      </c>
      <c r="CK25" s="1">
        <f t="shared" si="7"/>
        <v>359.0</v>
      </c>
      <c r="CL25" s="6"/>
    </row>
    <row r="26" ht="14.0">
      <c r="A26" s="1">
        <v>25.0</v>
      </c>
      <c r="B26" s="1" t="s">
        <v>41</v>
      </c>
      <c r="C26" s="11">
        <v>9.0603047E7</v>
      </c>
      <c r="D26" s="11">
        <v>6.381971994E9</v>
      </c>
      <c r="E26" s="1" t="s">
        <v>15</v>
      </c>
      <c r="F26" s="8" t="s">
        <v>15</v>
      </c>
      <c r="G26" s="8" t="s">
        <v>15</v>
      </c>
      <c r="H26" s="8" t="s">
        <v>15</v>
      </c>
      <c r="I26" s="8" t="s">
        <v>15</v>
      </c>
      <c r="J26" s="8" t="s">
        <v>16</v>
      </c>
      <c r="K26" s="1" t="s">
        <v>16</v>
      </c>
      <c r="L26" s="1" t="s">
        <v>15</v>
      </c>
      <c r="M26" s="1" t="s">
        <v>16</v>
      </c>
      <c r="N26" s="1" t="s">
        <v>16</v>
      </c>
      <c r="O26" s="1" t="s">
        <v>16</v>
      </c>
      <c r="P26" s="1" t="s">
        <v>16</v>
      </c>
      <c r="Q26" s="1" t="s">
        <v>16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CA26" s="5"/>
      <c r="CB26" s="1">
        <f t="shared" si="0"/>
        <v>6.0</v>
      </c>
      <c r="CC26" s="1">
        <f t="shared" si="1"/>
        <v>7.0</v>
      </c>
      <c r="CD26" s="1">
        <v>65.0</v>
      </c>
      <c r="CE26" s="1">
        <f t="shared" si="2"/>
        <v>13.0</v>
      </c>
      <c r="CF26" s="1">
        <f t="shared" si="3"/>
        <v>52.0</v>
      </c>
      <c r="CG26" s="9">
        <f t="shared" si="4"/>
        <v>0.461538461538461</v>
      </c>
      <c r="CH26" s="1">
        <v>450.0</v>
      </c>
      <c r="CI26" s="1">
        <f t="shared" si="5"/>
        <v>42.0</v>
      </c>
      <c r="CJ26" s="1">
        <f t="shared" si="6"/>
        <v>91.0</v>
      </c>
      <c r="CK26" s="1">
        <f t="shared" si="7"/>
        <v>359.0</v>
      </c>
      <c r="CL26" s="6"/>
    </row>
    <row r="27" ht="14.0">
      <c r="A27" s="1">
        <v>26.0</v>
      </c>
      <c r="B27" s="1" t="s">
        <v>42</v>
      </c>
      <c r="C27" s="1">
        <v>8.4472177E7</v>
      </c>
      <c r="D27" s="1">
        <v>9.940694702E9</v>
      </c>
      <c r="E27" s="1" t="s">
        <v>15</v>
      </c>
      <c r="F27" s="8" t="s">
        <v>15</v>
      </c>
      <c r="G27" s="8" t="s">
        <v>15</v>
      </c>
      <c r="H27" s="8" t="s">
        <v>15</v>
      </c>
      <c r="I27" s="8" t="s">
        <v>16</v>
      </c>
      <c r="J27" s="8" t="s">
        <v>16</v>
      </c>
      <c r="K27" s="1" t="s">
        <v>16</v>
      </c>
      <c r="L27" s="1" t="s">
        <v>16</v>
      </c>
      <c r="M27" s="1" t="s">
        <v>16</v>
      </c>
      <c r="N27" s="1" t="s">
        <v>16</v>
      </c>
      <c r="O27" s="1" t="s">
        <v>15</v>
      </c>
      <c r="P27" s="1" t="s">
        <v>16</v>
      </c>
      <c r="Q27" s="1" t="s">
        <v>16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CA27" s="5"/>
      <c r="CB27" s="1">
        <f t="shared" si="0"/>
        <v>5.0</v>
      </c>
      <c r="CC27" s="1">
        <f t="shared" si="1"/>
        <v>8.0</v>
      </c>
      <c r="CD27" s="1">
        <v>65.0</v>
      </c>
      <c r="CE27" s="1">
        <f t="shared" si="2"/>
        <v>13.0</v>
      </c>
      <c r="CF27" s="1">
        <f t="shared" si="3"/>
        <v>52.0</v>
      </c>
      <c r="CG27" s="9">
        <f t="shared" si="4"/>
        <v>0.384615384615384</v>
      </c>
      <c r="CH27" s="1">
        <v>450.0</v>
      </c>
      <c r="CI27" s="1">
        <f t="shared" si="5"/>
        <v>35.0</v>
      </c>
      <c r="CJ27" s="1">
        <f t="shared" si="6"/>
        <v>91.0</v>
      </c>
      <c r="CK27" s="1">
        <f t="shared" si="7"/>
        <v>359.0</v>
      </c>
      <c r="CL27" s="6"/>
    </row>
    <row r="28" ht="14.0">
      <c r="A28" s="1">
        <v>27.0</v>
      </c>
      <c r="B28" s="1" t="s">
        <v>43</v>
      </c>
      <c r="C28" s="1">
        <v>3.2256624E7</v>
      </c>
      <c r="D28" s="1">
        <v>9.025724562E9</v>
      </c>
      <c r="E28" s="1" t="s">
        <v>15</v>
      </c>
      <c r="F28" s="8" t="s">
        <v>15</v>
      </c>
      <c r="G28" s="8" t="s">
        <v>15</v>
      </c>
      <c r="H28" s="8" t="s">
        <v>15</v>
      </c>
      <c r="I28" s="8" t="s">
        <v>15</v>
      </c>
      <c r="J28" s="8" t="s">
        <v>15</v>
      </c>
      <c r="K28" s="1" t="s">
        <v>16</v>
      </c>
      <c r="L28" s="1" t="s">
        <v>15</v>
      </c>
      <c r="M28" s="1" t="s">
        <v>16</v>
      </c>
      <c r="N28" s="1" t="s">
        <v>15</v>
      </c>
      <c r="O28" s="1" t="s">
        <v>15</v>
      </c>
      <c r="P28" s="1" t="s">
        <v>16</v>
      </c>
      <c r="Q28" s="1" t="s">
        <v>15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CA28" s="5"/>
      <c r="CB28" s="1">
        <f t="shared" si="0"/>
        <v>10.0</v>
      </c>
      <c r="CC28" s="1">
        <f t="shared" si="1"/>
        <v>3.0</v>
      </c>
      <c r="CD28" s="1">
        <v>65.0</v>
      </c>
      <c r="CE28" s="1">
        <f t="shared" si="2"/>
        <v>13.0</v>
      </c>
      <c r="CF28" s="1">
        <f t="shared" si="3"/>
        <v>52.0</v>
      </c>
      <c r="CG28" s="9">
        <f t="shared" si="4"/>
        <v>0.769230769230769</v>
      </c>
      <c r="CH28" s="1">
        <v>450.0</v>
      </c>
      <c r="CI28" s="1">
        <f t="shared" si="5"/>
        <v>70.0</v>
      </c>
      <c r="CJ28" s="1">
        <f t="shared" si="6"/>
        <v>91.0</v>
      </c>
      <c r="CK28" s="1">
        <f t="shared" si="7"/>
        <v>359.0</v>
      </c>
      <c r="CL28" s="6"/>
    </row>
    <row r="29" ht="14.0">
      <c r="A29" s="1">
        <v>28.0</v>
      </c>
      <c r="B29" s="1" t="s">
        <v>44</v>
      </c>
      <c r="C29" s="1">
        <v>9.2763797E7</v>
      </c>
      <c r="D29" s="1">
        <v>9.962853708E9</v>
      </c>
      <c r="E29" s="1" t="s">
        <v>15</v>
      </c>
      <c r="F29" s="8" t="s">
        <v>15</v>
      </c>
      <c r="G29" s="8" t="s">
        <v>15</v>
      </c>
      <c r="H29" s="8" t="s">
        <v>15</v>
      </c>
      <c r="I29" s="8" t="s">
        <v>15</v>
      </c>
      <c r="J29" s="8" t="s">
        <v>15</v>
      </c>
      <c r="K29" s="1" t="s">
        <v>15</v>
      </c>
      <c r="L29" s="1" t="s">
        <v>16</v>
      </c>
      <c r="M29" s="1" t="s">
        <v>16</v>
      </c>
      <c r="N29" s="1" t="s">
        <v>16</v>
      </c>
      <c r="O29" s="1" t="s">
        <v>15</v>
      </c>
      <c r="P29" s="1" t="s">
        <v>15</v>
      </c>
      <c r="Q29" s="1" t="s">
        <v>16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CA29" s="5"/>
      <c r="CB29" s="1">
        <f t="shared" si="0"/>
        <v>9.0</v>
      </c>
      <c r="CC29" s="1">
        <f t="shared" si="1"/>
        <v>4.0</v>
      </c>
      <c r="CD29" s="1">
        <v>65.0</v>
      </c>
      <c r="CE29" s="1">
        <f t="shared" si="2"/>
        <v>13.0</v>
      </c>
      <c r="CF29" s="1">
        <f t="shared" si="3"/>
        <v>52.0</v>
      </c>
      <c r="CG29" s="9">
        <f t="shared" si="4"/>
        <v>0.692307692307692</v>
      </c>
      <c r="CH29" s="1">
        <v>450.0</v>
      </c>
      <c r="CI29" s="1">
        <f t="shared" si="5"/>
        <v>63.0</v>
      </c>
      <c r="CJ29" s="1">
        <f t="shared" si="6"/>
        <v>91.0</v>
      </c>
      <c r="CK29" s="1">
        <f t="shared" si="7"/>
        <v>359.0</v>
      </c>
      <c r="CL29" s="6"/>
    </row>
    <row r="30" ht="15.0">
      <c r="A30" s="1">
        <v>29.0</v>
      </c>
      <c r="B30" s="1" t="s">
        <v>45</v>
      </c>
      <c r="C30" s="1">
        <v>1.5851461E7</v>
      </c>
      <c r="D30" s="7">
        <v>9.843388389E9</v>
      </c>
      <c r="E30" s="1" t="s">
        <v>15</v>
      </c>
      <c r="F30" s="8" t="s">
        <v>15</v>
      </c>
      <c r="G30" s="8" t="s">
        <v>15</v>
      </c>
      <c r="H30" s="8" t="s">
        <v>15</v>
      </c>
      <c r="I30" s="8" t="s">
        <v>15</v>
      </c>
      <c r="J30" s="8" t="s">
        <v>16</v>
      </c>
      <c r="K30" s="1" t="s">
        <v>15</v>
      </c>
      <c r="L30" s="1" t="s">
        <v>16</v>
      </c>
      <c r="M30" s="1" t="s">
        <v>16</v>
      </c>
      <c r="N30" s="1" t="s">
        <v>16</v>
      </c>
      <c r="O30" s="1" t="s">
        <v>16</v>
      </c>
      <c r="P30" s="1" t="s">
        <v>16</v>
      </c>
      <c r="Q30" s="1" t="s">
        <v>16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CA30" s="5"/>
      <c r="CB30" s="1">
        <f t="shared" si="0"/>
        <v>6.0</v>
      </c>
      <c r="CC30" s="1">
        <f t="shared" si="1"/>
        <v>7.0</v>
      </c>
      <c r="CD30" s="1">
        <v>65.0</v>
      </c>
      <c r="CE30" s="1">
        <f t="shared" si="2"/>
        <v>13.0</v>
      </c>
      <c r="CF30" s="1">
        <f t="shared" si="3"/>
        <v>52.0</v>
      </c>
      <c r="CG30" s="9">
        <f t="shared" si="4"/>
        <v>0.461538461538461</v>
      </c>
      <c r="CH30" s="1">
        <v>450.0</v>
      </c>
      <c r="CI30" s="1">
        <f t="shared" si="5"/>
        <v>42.0</v>
      </c>
      <c r="CJ30" s="1">
        <f t="shared" si="6"/>
        <v>91.0</v>
      </c>
      <c r="CK30" s="1">
        <f t="shared" si="7"/>
        <v>359.0</v>
      </c>
      <c r="CL30" s="6"/>
    </row>
    <row r="31" ht="14.0">
      <c r="A31" s="1">
        <v>30.0</v>
      </c>
      <c r="B31" s="1" t="s">
        <v>46</v>
      </c>
      <c r="C31" s="1">
        <v>7.7868302E7</v>
      </c>
      <c r="D31" s="1">
        <v>8.072237882E9</v>
      </c>
      <c r="E31" s="1" t="s">
        <v>15</v>
      </c>
      <c r="F31" s="8" t="s">
        <v>15</v>
      </c>
      <c r="G31" s="8" t="s">
        <v>15</v>
      </c>
      <c r="H31" s="8" t="s">
        <v>15</v>
      </c>
      <c r="I31" s="8" t="s">
        <v>15</v>
      </c>
      <c r="J31" s="8" t="s">
        <v>15</v>
      </c>
      <c r="K31" s="1" t="s">
        <v>15</v>
      </c>
      <c r="L31" s="1" t="s">
        <v>22</v>
      </c>
      <c r="M31" s="1" t="s">
        <v>16</v>
      </c>
      <c r="N31" s="1" t="s">
        <v>15</v>
      </c>
      <c r="O31" s="1" t="s">
        <v>15</v>
      </c>
      <c r="P31" s="1" t="s">
        <v>15</v>
      </c>
      <c r="Q31" s="1" t="s">
        <v>15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CA31" s="5"/>
      <c r="CB31" s="1">
        <f t="shared" si="0"/>
        <v>12.0</v>
      </c>
      <c r="CC31" s="1">
        <f t="shared" si="1"/>
        <v>1.0</v>
      </c>
      <c r="CD31" s="1">
        <v>65.0</v>
      </c>
      <c r="CE31" s="1">
        <f t="shared" si="2"/>
        <v>13.0</v>
      </c>
      <c r="CF31" s="1">
        <f t="shared" si="3"/>
        <v>52.0</v>
      </c>
      <c r="CG31" s="9">
        <f t="shared" si="4"/>
        <v>0.923076923076923</v>
      </c>
      <c r="CH31" s="1">
        <v>450.0</v>
      </c>
      <c r="CI31" s="1">
        <f t="shared" si="5"/>
        <v>84.0</v>
      </c>
      <c r="CJ31" s="1">
        <f t="shared" si="6"/>
        <v>91.0</v>
      </c>
      <c r="CK31" s="1">
        <f t="shared" si="7"/>
        <v>359.0</v>
      </c>
      <c r="CL31" s="6"/>
    </row>
    <row r="32">
      <c r="A32" s="6"/>
      <c r="B32" s="6"/>
      <c r="C32" s="6"/>
      <c r="D32" s="6"/>
      <c r="E32" s="6">
        <f>COUNTIF(E2:E31,"P")</f>
        <v>29.0</v>
      </c>
      <c r="F32" s="6">
        <f>COUNTIF(F2:F31,"P")</f>
        <v>28.0</v>
      </c>
      <c r="G32" s="6">
        <f>COUNTIF(G2:G31,"P")</f>
        <v>28.0</v>
      </c>
      <c r="H32" s="6">
        <f>COUNTIF(H2:H31,"P")</f>
        <v>25.0</v>
      </c>
      <c r="I32" s="6">
        <f>COUNTIF(I2:I31,"P")</f>
        <v>23.0</v>
      </c>
      <c r="J32" s="6">
        <f>COUNTIF(J2:J31,"P")</f>
        <v>9.0</v>
      </c>
      <c r="K32" s="6">
        <f>COUNTIF(K2:K31,"P")</f>
        <v>20.0</v>
      </c>
      <c r="L32" s="6">
        <f>COUNTIF(L2:L31,"P")</f>
        <v>11.0</v>
      </c>
      <c r="M32" s="6">
        <f>COUNTIF(M2:M31,"P")</f>
        <v>6.0</v>
      </c>
      <c r="N32" s="6">
        <f>COUNTIF(N2:N31,"P")</f>
        <v>13.0</v>
      </c>
      <c r="O32" s="6">
        <f>COUNTIF(O2:O31,"P")</f>
        <v>15.0</v>
      </c>
      <c r="P32" s="6">
        <f>COUNTIF(P2:P31,"P")</f>
        <v>9.0</v>
      </c>
      <c r="Q32" s="6">
        <f>COUNTIF(Q2:Q31,"P")</f>
        <v>10.0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CD32" s="6"/>
      <c r="CE32" s="6"/>
      <c r="CF32" s="6"/>
      <c r="CG32" s="6"/>
      <c r="CH32" s="6"/>
      <c r="CI32" s="6"/>
      <c r="CJ32" s="6"/>
      <c r="CK32" s="6"/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CJ18"/>
  <sheetViews>
    <sheetView workbookViewId="0">
      <pane xSplit="4" topLeftCell="E1" state="frozen"/>
    </sheetView>
  </sheetViews>
  <sheetFormatPr defaultRowHeight="14.0" customHeight="1"/>
  <cols>
    <col min="1" max="72" width="13.24"/>
    <col min="73" max="79" width="17.48"/>
    <col min="80" max="80" width="13.24"/>
    <col min="81" max="81" width="13.24"/>
    <col min="82" max="82" width="13.24"/>
    <col min="83" max="83" width="19.6"/>
    <col min="84" max="84" width="19.6"/>
    <col min="85" max="85" width="13.24"/>
    <col min="86" max="86" width="24.51"/>
    <col min="87" max="2048" width="13.24"/>
  </cols>
  <sheetData>
    <row r="1" ht="14.0">
      <c r="A1" s="1" t="s">
        <v>0</v>
      </c>
      <c r="B1" s="2" t="s">
        <v>1</v>
      </c>
      <c r="C1" s="3" t="s">
        <v>2</v>
      </c>
      <c r="D1" s="2" t="s">
        <v>3</v>
      </c>
      <c r="E1" s="4">
        <v>46108</v>
      </c>
      <c r="F1" s="4">
        <v>46109</v>
      </c>
      <c r="G1" s="12">
        <v>46113</v>
      </c>
      <c r="H1" s="13">
        <v>46116</v>
      </c>
      <c r="I1" s="13">
        <v>46118</v>
      </c>
      <c r="J1" s="13">
        <v>46122</v>
      </c>
      <c r="K1" s="13">
        <v>46125</v>
      </c>
      <c r="L1" s="13">
        <v>46127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BZ1" s="5"/>
      <c r="CA1" s="1" t="s">
        <v>4</v>
      </c>
      <c r="CB1" s="1" t="s">
        <v>5</v>
      </c>
      <c r="CC1" s="1" t="s">
        <v>6</v>
      </c>
      <c r="CD1" s="1" t="s">
        <v>7</v>
      </c>
      <c r="CE1" s="1" t="s">
        <v>47</v>
      </c>
      <c r="CF1" s="1" t="s">
        <v>9</v>
      </c>
      <c r="CG1" s="1" t="s">
        <v>10</v>
      </c>
      <c r="CH1" s="1" t="s">
        <v>11</v>
      </c>
      <c r="CI1" s="1" t="s">
        <v>12</v>
      </c>
      <c r="CJ1" s="1" t="s">
        <v>13</v>
      </c>
      <c r="CK1" s="6"/>
    </row>
    <row r="2" ht="14.0">
      <c r="A2" s="14">
        <v>1.0</v>
      </c>
      <c r="B2" s="14" t="s">
        <v>48</v>
      </c>
      <c r="C2" s="14">
        <v>6581920.0</v>
      </c>
      <c r="D2" s="14">
        <v>8.838659334E9</v>
      </c>
      <c r="E2" s="1" t="s">
        <v>16</v>
      </c>
      <c r="F2" s="1" t="s">
        <v>16</v>
      </c>
      <c r="G2" s="1" t="s">
        <v>16</v>
      </c>
      <c r="H2" s="15" t="s">
        <v>16</v>
      </c>
      <c r="I2" s="15" t="s">
        <v>16</v>
      </c>
      <c r="J2" s="15" t="s">
        <v>16</v>
      </c>
      <c r="K2" s="1" t="s">
        <v>16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BZ2" s="5"/>
      <c r="CA2" s="1">
        <f t="shared" ref="CA2:CA17" si="0">COUNTIF(E2:BZ2,"P")+COUNTIF(E2:BZ2,"HF")*0.5</f>
        <v>0.0</v>
      </c>
      <c r="CB2" s="1">
        <f t="shared" ref="CB2:CB17" si="1">COUNTIF(E2:BZ2,"A")</f>
        <v>7.0</v>
      </c>
      <c r="CC2" s="1">
        <v>65.0</v>
      </c>
      <c r="CD2" s="1">
        <f t="shared" ref="CD2:CD17" si="2">COUNTIF(E2:BZ2,"P")+COUNTIF(E2:BZ2,"HF")+COUNTIF(E2:BZ2,"A")</f>
        <v>7.0</v>
      </c>
      <c r="CE2" s="16">
        <f t="shared" ref="CE2:CE17" si="3">CC2-CD2</f>
        <v>58.0</v>
      </c>
      <c r="CF2" s="9">
        <f t="shared" ref="CF2:CF17" si="4">CA2/CD2</f>
        <v>0.0</v>
      </c>
      <c r="CG2" s="1">
        <v>450.0</v>
      </c>
      <c r="CH2" s="1">
        <f t="shared" ref="CH2:CH17" si="5">CA2*7</f>
        <v>0.0</v>
      </c>
      <c r="CI2" s="1">
        <f t="shared" ref="CI2:CI17" si="6">CD2*7</f>
        <v>49.0</v>
      </c>
      <c r="CJ2" s="1">
        <f t="shared" ref="CJ2:CJ17" si="7">CG2-CI2</f>
        <v>401.0</v>
      </c>
      <c r="CK2" s="6"/>
    </row>
    <row r="3" ht="14.0">
      <c r="A3" s="14">
        <v>2.0</v>
      </c>
      <c r="B3" s="14" t="s">
        <v>49</v>
      </c>
      <c r="C3" s="14">
        <v>5.4088471E7</v>
      </c>
      <c r="D3" s="14">
        <v>8.939254294E9</v>
      </c>
      <c r="E3" s="1" t="s">
        <v>15</v>
      </c>
      <c r="F3" s="1" t="s">
        <v>15</v>
      </c>
      <c r="G3" s="1" t="s">
        <v>15</v>
      </c>
      <c r="H3" s="15" t="s">
        <v>15</v>
      </c>
      <c r="I3" s="15" t="s">
        <v>15</v>
      </c>
      <c r="J3" s="15" t="s">
        <v>15</v>
      </c>
      <c r="K3" s="1" t="s">
        <v>15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BZ3" s="5"/>
      <c r="CA3" s="1">
        <f t="shared" si="0"/>
        <v>7.0</v>
      </c>
      <c r="CB3" s="1">
        <f t="shared" si="1"/>
        <v>0.0</v>
      </c>
      <c r="CC3" s="1">
        <v>65.0</v>
      </c>
      <c r="CD3" s="1">
        <f t="shared" si="2"/>
        <v>7.0</v>
      </c>
      <c r="CE3" s="16">
        <f t="shared" si="3"/>
        <v>58.0</v>
      </c>
      <c r="CF3" s="9">
        <f t="shared" si="4"/>
        <v>1.0</v>
      </c>
      <c r="CG3" s="1">
        <v>450.0</v>
      </c>
      <c r="CH3" s="1">
        <f t="shared" si="5"/>
        <v>49.0</v>
      </c>
      <c r="CI3" s="1">
        <f t="shared" si="6"/>
        <v>49.0</v>
      </c>
      <c r="CJ3" s="1">
        <f t="shared" si="7"/>
        <v>401.0</v>
      </c>
      <c r="CK3" s="6"/>
    </row>
    <row r="4" ht="14.0">
      <c r="A4" s="14">
        <v>3.0</v>
      </c>
      <c r="B4" s="17" t="s">
        <v>50</v>
      </c>
      <c r="C4" s="17">
        <v>5.009233E7</v>
      </c>
      <c r="D4" s="17">
        <v>7.010660236E9</v>
      </c>
      <c r="E4" s="1" t="s">
        <v>15</v>
      </c>
      <c r="F4" s="1" t="s">
        <v>15</v>
      </c>
      <c r="G4" s="1" t="s">
        <v>16</v>
      </c>
      <c r="H4" s="15" t="s">
        <v>15</v>
      </c>
      <c r="I4" s="15" t="s">
        <v>15</v>
      </c>
      <c r="J4" s="15" t="s">
        <v>15</v>
      </c>
      <c r="K4" s="1" t="s">
        <v>15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BZ4" s="5"/>
      <c r="CA4" s="1">
        <f t="shared" si="0"/>
        <v>6.0</v>
      </c>
      <c r="CB4" s="1">
        <f t="shared" si="1"/>
        <v>1.0</v>
      </c>
      <c r="CC4" s="1">
        <v>65.0</v>
      </c>
      <c r="CD4" s="1">
        <f t="shared" si="2"/>
        <v>7.0</v>
      </c>
      <c r="CE4" s="16">
        <f t="shared" si="3"/>
        <v>58.0</v>
      </c>
      <c r="CF4" s="9">
        <f t="shared" si="4"/>
        <v>0.857142857142857</v>
      </c>
      <c r="CG4" s="1">
        <v>450.0</v>
      </c>
      <c r="CH4" s="1">
        <f t="shared" si="5"/>
        <v>42.0</v>
      </c>
      <c r="CI4" s="1">
        <f t="shared" si="6"/>
        <v>49.0</v>
      </c>
      <c r="CJ4" s="1">
        <f t="shared" si="7"/>
        <v>401.0</v>
      </c>
      <c r="CK4" s="6"/>
    </row>
    <row r="5" ht="14.0">
      <c r="A5" s="14">
        <v>4.0</v>
      </c>
      <c r="B5" s="17" t="s">
        <v>51</v>
      </c>
      <c r="C5" s="17">
        <v>7.8529453E7</v>
      </c>
      <c r="D5" s="17">
        <v>9.952075237E9</v>
      </c>
      <c r="E5" s="1" t="s">
        <v>15</v>
      </c>
      <c r="F5" s="1" t="s">
        <v>15</v>
      </c>
      <c r="G5" s="1" t="s">
        <v>15</v>
      </c>
      <c r="H5" s="15" t="s">
        <v>15</v>
      </c>
      <c r="I5" s="15" t="s">
        <v>15</v>
      </c>
      <c r="J5" s="15" t="s">
        <v>15</v>
      </c>
      <c r="K5" s="1" t="s">
        <v>15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BZ5" s="5"/>
      <c r="CA5" s="1">
        <f t="shared" si="0"/>
        <v>7.0</v>
      </c>
      <c r="CB5" s="1">
        <f t="shared" si="1"/>
        <v>0.0</v>
      </c>
      <c r="CC5" s="1">
        <v>65.0</v>
      </c>
      <c r="CD5" s="1">
        <f t="shared" si="2"/>
        <v>7.0</v>
      </c>
      <c r="CE5" s="16">
        <f t="shared" si="3"/>
        <v>58.0</v>
      </c>
      <c r="CF5" s="9">
        <f t="shared" si="4"/>
        <v>1.0</v>
      </c>
      <c r="CG5" s="1">
        <v>450.0</v>
      </c>
      <c r="CH5" s="1">
        <f t="shared" si="5"/>
        <v>49.0</v>
      </c>
      <c r="CI5" s="1">
        <f t="shared" si="6"/>
        <v>49.0</v>
      </c>
      <c r="CJ5" s="1">
        <f t="shared" si="7"/>
        <v>401.0</v>
      </c>
      <c r="CK5" s="6"/>
    </row>
    <row r="6" ht="14.0">
      <c r="A6" s="14">
        <v>5.0</v>
      </c>
      <c r="B6" s="18" t="s">
        <v>52</v>
      </c>
      <c r="C6" s="17">
        <v>3.296106E7</v>
      </c>
      <c r="D6" s="17">
        <v>9.943848525E9</v>
      </c>
      <c r="E6" s="1" t="s">
        <v>15</v>
      </c>
      <c r="F6" s="1" t="s">
        <v>15</v>
      </c>
      <c r="G6" s="1" t="s">
        <v>15</v>
      </c>
      <c r="H6" s="15" t="s">
        <v>15</v>
      </c>
      <c r="I6" s="15" t="s">
        <v>15</v>
      </c>
      <c r="J6" s="15" t="s">
        <v>15</v>
      </c>
      <c r="K6" s="1" t="s">
        <v>15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BZ6" s="5"/>
      <c r="CA6" s="1">
        <f t="shared" si="0"/>
        <v>7.0</v>
      </c>
      <c r="CB6" s="1">
        <f t="shared" si="1"/>
        <v>0.0</v>
      </c>
      <c r="CC6" s="1">
        <v>65.0</v>
      </c>
      <c r="CD6" s="1">
        <f t="shared" si="2"/>
        <v>7.0</v>
      </c>
      <c r="CE6" s="16">
        <f t="shared" si="3"/>
        <v>58.0</v>
      </c>
      <c r="CF6" s="9">
        <f t="shared" si="4"/>
        <v>1.0</v>
      </c>
      <c r="CG6" s="1">
        <v>450.0</v>
      </c>
      <c r="CH6" s="1">
        <f t="shared" si="5"/>
        <v>49.0</v>
      </c>
      <c r="CI6" s="1">
        <f t="shared" si="6"/>
        <v>49.0</v>
      </c>
      <c r="CJ6" s="1">
        <f t="shared" si="7"/>
        <v>401.0</v>
      </c>
      <c r="CK6" s="6"/>
    </row>
    <row r="7" ht="14.0">
      <c r="A7" s="14">
        <v>6.0</v>
      </c>
      <c r="B7" s="18" t="s">
        <v>53</v>
      </c>
      <c r="C7" s="17">
        <v>7.5147751E7</v>
      </c>
      <c r="D7" s="17">
        <v>9.003248458E9</v>
      </c>
      <c r="E7" s="1" t="s">
        <v>15</v>
      </c>
      <c r="F7" s="1" t="s">
        <v>15</v>
      </c>
      <c r="G7" s="1" t="s">
        <v>15</v>
      </c>
      <c r="H7" s="15" t="s">
        <v>16</v>
      </c>
      <c r="I7" s="15" t="s">
        <v>15</v>
      </c>
      <c r="J7" s="15" t="s">
        <v>15</v>
      </c>
      <c r="K7" s="1" t="s">
        <v>15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BZ7" s="5"/>
      <c r="CA7" s="1">
        <f t="shared" si="0"/>
        <v>6.0</v>
      </c>
      <c r="CB7" s="1">
        <f t="shared" si="1"/>
        <v>1.0</v>
      </c>
      <c r="CC7" s="1">
        <v>65.0</v>
      </c>
      <c r="CD7" s="1">
        <f t="shared" si="2"/>
        <v>7.0</v>
      </c>
      <c r="CE7" s="16">
        <f t="shared" si="3"/>
        <v>58.0</v>
      </c>
      <c r="CF7" s="9">
        <f t="shared" si="4"/>
        <v>0.857142857142857</v>
      </c>
      <c r="CG7" s="1">
        <v>450.0</v>
      </c>
      <c r="CH7" s="1">
        <f t="shared" si="5"/>
        <v>42.0</v>
      </c>
      <c r="CI7" s="1">
        <f t="shared" si="6"/>
        <v>49.0</v>
      </c>
      <c r="CJ7" s="1">
        <f t="shared" si="7"/>
        <v>401.0</v>
      </c>
      <c r="CK7" s="6"/>
    </row>
    <row r="8" ht="14.0">
      <c r="A8" s="14">
        <v>7.0</v>
      </c>
      <c r="B8" s="18" t="s">
        <v>54</v>
      </c>
      <c r="C8" s="17">
        <v>2.2264458E7</v>
      </c>
      <c r="D8" s="17">
        <v>9.840157562E9</v>
      </c>
      <c r="E8" s="1" t="s">
        <v>15</v>
      </c>
      <c r="F8" s="1" t="s">
        <v>15</v>
      </c>
      <c r="G8" s="1" t="s">
        <v>15</v>
      </c>
      <c r="H8" s="15" t="s">
        <v>15</v>
      </c>
      <c r="I8" s="15" t="s">
        <v>15</v>
      </c>
      <c r="J8" s="15" t="s">
        <v>15</v>
      </c>
      <c r="K8" s="1" t="s">
        <v>15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BZ8" s="5"/>
      <c r="CA8" s="1">
        <f t="shared" si="0"/>
        <v>7.0</v>
      </c>
      <c r="CB8" s="1">
        <f t="shared" si="1"/>
        <v>0.0</v>
      </c>
      <c r="CC8" s="1">
        <v>65.0</v>
      </c>
      <c r="CD8" s="1">
        <f t="shared" si="2"/>
        <v>7.0</v>
      </c>
      <c r="CE8" s="16">
        <f t="shared" si="3"/>
        <v>58.0</v>
      </c>
      <c r="CF8" s="9">
        <f t="shared" si="4"/>
        <v>1.0</v>
      </c>
      <c r="CG8" s="1">
        <v>450.0</v>
      </c>
      <c r="CH8" s="1">
        <f t="shared" si="5"/>
        <v>49.0</v>
      </c>
      <c r="CI8" s="1">
        <f t="shared" si="6"/>
        <v>49.0</v>
      </c>
      <c r="CJ8" s="1">
        <f t="shared" si="7"/>
        <v>401.0</v>
      </c>
      <c r="CK8" s="6"/>
    </row>
    <row r="9" ht="14.0">
      <c r="A9" s="14">
        <v>8.0</v>
      </c>
      <c r="B9" s="18" t="s">
        <v>55</v>
      </c>
      <c r="C9" s="17">
        <v>6.6433844E7</v>
      </c>
      <c r="D9" s="17">
        <v>6.382559506E9</v>
      </c>
      <c r="E9" s="1" t="s">
        <v>15</v>
      </c>
      <c r="F9" s="1" t="s">
        <v>16</v>
      </c>
      <c r="G9" s="1" t="s">
        <v>15</v>
      </c>
      <c r="H9" s="15" t="s">
        <v>15</v>
      </c>
      <c r="I9" s="15" t="s">
        <v>16</v>
      </c>
      <c r="J9" s="15" t="s">
        <v>15</v>
      </c>
      <c r="K9" s="1" t="s">
        <v>15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BZ9" s="5"/>
      <c r="CA9" s="1">
        <f t="shared" si="0"/>
        <v>5.0</v>
      </c>
      <c r="CB9" s="1">
        <f t="shared" si="1"/>
        <v>2.0</v>
      </c>
      <c r="CC9" s="1">
        <v>65.0</v>
      </c>
      <c r="CD9" s="1">
        <f t="shared" si="2"/>
        <v>7.0</v>
      </c>
      <c r="CE9" s="16">
        <f t="shared" si="3"/>
        <v>58.0</v>
      </c>
      <c r="CF9" s="9">
        <f t="shared" si="4"/>
        <v>0.714285714285714</v>
      </c>
      <c r="CG9" s="1">
        <v>450.0</v>
      </c>
      <c r="CH9" s="1">
        <f t="shared" si="5"/>
        <v>35.0</v>
      </c>
      <c r="CI9" s="1">
        <f t="shared" si="6"/>
        <v>49.0</v>
      </c>
      <c r="CJ9" s="1">
        <f t="shared" si="7"/>
        <v>401.0</v>
      </c>
      <c r="CK9" s="6"/>
    </row>
    <row r="10" ht="14.0">
      <c r="A10" s="14">
        <v>9.0</v>
      </c>
      <c r="B10" s="18" t="s">
        <v>56</v>
      </c>
      <c r="C10" s="17">
        <v>6.8809329E7</v>
      </c>
      <c r="D10" s="17">
        <v>8.825555804E9</v>
      </c>
      <c r="E10" s="1" t="s">
        <v>15</v>
      </c>
      <c r="F10" s="1" t="s">
        <v>16</v>
      </c>
      <c r="G10" s="1" t="s">
        <v>15</v>
      </c>
      <c r="H10" s="15" t="s">
        <v>15</v>
      </c>
      <c r="I10" s="15" t="s">
        <v>15</v>
      </c>
      <c r="J10" s="15" t="s">
        <v>15</v>
      </c>
      <c r="K10" s="1" t="s">
        <v>15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BZ10" s="5"/>
      <c r="CA10" s="1">
        <f t="shared" si="0"/>
        <v>6.0</v>
      </c>
      <c r="CB10" s="1">
        <f t="shared" si="1"/>
        <v>1.0</v>
      </c>
      <c r="CC10" s="1">
        <v>65.0</v>
      </c>
      <c r="CD10" s="1">
        <f t="shared" si="2"/>
        <v>7.0</v>
      </c>
      <c r="CE10" s="16">
        <f t="shared" si="3"/>
        <v>58.0</v>
      </c>
      <c r="CF10" s="9">
        <f t="shared" si="4"/>
        <v>0.857142857142857</v>
      </c>
      <c r="CG10" s="1">
        <v>450.0</v>
      </c>
      <c r="CH10" s="1">
        <f t="shared" si="5"/>
        <v>42.0</v>
      </c>
      <c r="CI10" s="1">
        <f t="shared" si="6"/>
        <v>49.0</v>
      </c>
      <c r="CJ10" s="1">
        <f t="shared" si="7"/>
        <v>401.0</v>
      </c>
      <c r="CK10" s="6"/>
    </row>
    <row r="11" ht="14.0">
      <c r="A11" s="14">
        <v>10.0</v>
      </c>
      <c r="B11" s="18" t="s">
        <v>57</v>
      </c>
      <c r="C11" s="17">
        <v>3.6089888E7</v>
      </c>
      <c r="D11" s="17">
        <v>8.939374912E9</v>
      </c>
      <c r="E11" s="1" t="s">
        <v>15</v>
      </c>
      <c r="F11" s="1" t="s">
        <v>15</v>
      </c>
      <c r="G11" s="1" t="s">
        <v>15</v>
      </c>
      <c r="H11" s="15" t="s">
        <v>15</v>
      </c>
      <c r="I11" s="15" t="s">
        <v>15</v>
      </c>
      <c r="J11" s="15" t="s">
        <v>15</v>
      </c>
      <c r="K11" s="1" t="s">
        <v>15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BZ11" s="5"/>
      <c r="CA11" s="1">
        <f t="shared" si="0"/>
        <v>7.0</v>
      </c>
      <c r="CB11" s="1">
        <f t="shared" si="1"/>
        <v>0.0</v>
      </c>
      <c r="CC11" s="1">
        <v>65.0</v>
      </c>
      <c r="CD11" s="1">
        <f t="shared" si="2"/>
        <v>7.0</v>
      </c>
      <c r="CE11" s="16">
        <f t="shared" si="3"/>
        <v>58.0</v>
      </c>
      <c r="CF11" s="9">
        <f t="shared" si="4"/>
        <v>1.0</v>
      </c>
      <c r="CG11" s="1">
        <v>450.0</v>
      </c>
      <c r="CH11" s="1">
        <f t="shared" si="5"/>
        <v>49.0</v>
      </c>
      <c r="CI11" s="1">
        <f t="shared" si="6"/>
        <v>49.0</v>
      </c>
      <c r="CJ11" s="1">
        <f t="shared" si="7"/>
        <v>401.0</v>
      </c>
      <c r="CK11" s="6"/>
    </row>
    <row r="12" ht="14.0">
      <c r="A12" s="14">
        <v>11.0</v>
      </c>
      <c r="B12" s="18" t="s">
        <v>58</v>
      </c>
      <c r="C12" s="17">
        <v>5.0880371E7</v>
      </c>
      <c r="D12" s="17">
        <v>6.369699126E9</v>
      </c>
      <c r="E12" s="1" t="s">
        <v>15</v>
      </c>
      <c r="F12" s="1" t="s">
        <v>15</v>
      </c>
      <c r="G12" s="1" t="s">
        <v>15</v>
      </c>
      <c r="H12" s="15" t="s">
        <v>15</v>
      </c>
      <c r="I12" s="15" t="s">
        <v>15</v>
      </c>
      <c r="J12" s="15" t="s">
        <v>15</v>
      </c>
      <c r="K12" s="1" t="s">
        <v>15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BZ12" s="5"/>
      <c r="CA12" s="1">
        <f t="shared" si="0"/>
        <v>7.0</v>
      </c>
      <c r="CB12" s="1">
        <f t="shared" si="1"/>
        <v>0.0</v>
      </c>
      <c r="CC12" s="1">
        <v>65.0</v>
      </c>
      <c r="CD12" s="1">
        <f t="shared" si="2"/>
        <v>7.0</v>
      </c>
      <c r="CE12" s="16">
        <f t="shared" si="3"/>
        <v>58.0</v>
      </c>
      <c r="CF12" s="9">
        <f t="shared" si="4"/>
        <v>1.0</v>
      </c>
      <c r="CG12" s="1">
        <v>450.0</v>
      </c>
      <c r="CH12" s="1">
        <f t="shared" si="5"/>
        <v>49.0</v>
      </c>
      <c r="CI12" s="1">
        <f t="shared" si="6"/>
        <v>49.0</v>
      </c>
      <c r="CJ12" s="1">
        <f t="shared" si="7"/>
        <v>401.0</v>
      </c>
      <c r="CK12" s="6"/>
    </row>
    <row r="13" ht="14.0">
      <c r="A13" s="14">
        <v>12.0</v>
      </c>
      <c r="B13" s="18" t="s">
        <v>59</v>
      </c>
      <c r="C13" s="17">
        <v>6.4113917E7</v>
      </c>
      <c r="D13" s="17">
        <v>9.44478233E9</v>
      </c>
      <c r="E13" s="1" t="s">
        <v>15</v>
      </c>
      <c r="F13" s="1" t="s">
        <v>15</v>
      </c>
      <c r="G13" s="1" t="s">
        <v>15</v>
      </c>
      <c r="H13" s="15" t="s">
        <v>15</v>
      </c>
      <c r="I13" s="15" t="s">
        <v>15</v>
      </c>
      <c r="J13" s="15" t="s">
        <v>15</v>
      </c>
      <c r="K13" s="1" t="s">
        <v>15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BZ13" s="5"/>
      <c r="CA13" s="1">
        <f t="shared" si="0"/>
        <v>7.0</v>
      </c>
      <c r="CB13" s="1">
        <f t="shared" si="1"/>
        <v>0.0</v>
      </c>
      <c r="CC13" s="1">
        <v>65.0</v>
      </c>
      <c r="CD13" s="1">
        <f t="shared" si="2"/>
        <v>7.0</v>
      </c>
      <c r="CE13" s="16">
        <f t="shared" si="3"/>
        <v>58.0</v>
      </c>
      <c r="CF13" s="9">
        <f t="shared" si="4"/>
        <v>1.0</v>
      </c>
      <c r="CG13" s="1">
        <v>450.0</v>
      </c>
      <c r="CH13" s="1">
        <f t="shared" si="5"/>
        <v>49.0</v>
      </c>
      <c r="CI13" s="1">
        <f t="shared" si="6"/>
        <v>49.0</v>
      </c>
      <c r="CJ13" s="1">
        <f t="shared" si="7"/>
        <v>401.0</v>
      </c>
      <c r="CK13" s="6"/>
    </row>
    <row r="14" ht="14.0">
      <c r="A14" s="14">
        <v>13.0</v>
      </c>
      <c r="B14" s="18" t="s">
        <v>60</v>
      </c>
      <c r="C14" s="17">
        <v>8.6995726E7</v>
      </c>
      <c r="D14" s="17">
        <v>8.925684831E9</v>
      </c>
      <c r="E14" s="1" t="s">
        <v>15</v>
      </c>
      <c r="F14" s="1" t="s">
        <v>15</v>
      </c>
      <c r="G14" s="1" t="s">
        <v>15</v>
      </c>
      <c r="H14" s="15" t="s">
        <v>15</v>
      </c>
      <c r="I14" s="15" t="s">
        <v>15</v>
      </c>
      <c r="J14" s="15" t="s">
        <v>15</v>
      </c>
      <c r="K14" s="1" t="s">
        <v>15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BZ14" s="5"/>
      <c r="CA14" s="1">
        <f t="shared" si="0"/>
        <v>7.0</v>
      </c>
      <c r="CB14" s="1">
        <f t="shared" si="1"/>
        <v>0.0</v>
      </c>
      <c r="CC14" s="1">
        <v>65.0</v>
      </c>
      <c r="CD14" s="1">
        <f t="shared" si="2"/>
        <v>7.0</v>
      </c>
      <c r="CE14" s="16">
        <f t="shared" si="3"/>
        <v>58.0</v>
      </c>
      <c r="CF14" s="9">
        <f t="shared" si="4"/>
        <v>1.0</v>
      </c>
      <c r="CG14" s="1">
        <v>450.0</v>
      </c>
      <c r="CH14" s="1">
        <f t="shared" si="5"/>
        <v>49.0</v>
      </c>
      <c r="CI14" s="1">
        <f t="shared" si="6"/>
        <v>49.0</v>
      </c>
      <c r="CJ14" s="1">
        <f t="shared" si="7"/>
        <v>401.0</v>
      </c>
      <c r="CK14" s="6"/>
    </row>
    <row r="15" ht="14.0">
      <c r="A15" s="14">
        <v>14.0</v>
      </c>
      <c r="B15" s="18" t="s">
        <v>61</v>
      </c>
      <c r="C15" s="17">
        <v>8.6952514E7</v>
      </c>
      <c r="D15" s="17">
        <v>6.383453515E9</v>
      </c>
      <c r="E15" s="1" t="s">
        <v>15</v>
      </c>
      <c r="F15" s="1" t="s">
        <v>15</v>
      </c>
      <c r="G15" s="19" t="s">
        <v>15</v>
      </c>
      <c r="H15" s="20" t="s">
        <v>15</v>
      </c>
      <c r="I15" s="20" t="s">
        <v>15</v>
      </c>
      <c r="J15" s="15" t="s">
        <v>15</v>
      </c>
      <c r="K15" s="1" t="s">
        <v>15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BZ15" s="5"/>
      <c r="CA15" s="1">
        <f t="shared" si="0"/>
        <v>7.0</v>
      </c>
      <c r="CB15" s="1">
        <f t="shared" si="1"/>
        <v>0.0</v>
      </c>
      <c r="CC15" s="1">
        <v>65.0</v>
      </c>
      <c r="CD15" s="1">
        <f t="shared" si="2"/>
        <v>7.0</v>
      </c>
      <c r="CE15" s="16">
        <f t="shared" si="3"/>
        <v>58.0</v>
      </c>
      <c r="CF15" s="9">
        <f t="shared" si="4"/>
        <v>1.0</v>
      </c>
      <c r="CG15" s="1">
        <v>450.0</v>
      </c>
      <c r="CH15" s="1">
        <f t="shared" si="5"/>
        <v>49.0</v>
      </c>
      <c r="CI15" s="1">
        <f t="shared" si="6"/>
        <v>49.0</v>
      </c>
      <c r="CJ15" s="1">
        <f t="shared" si="7"/>
        <v>401.0</v>
      </c>
      <c r="CK15" s="6"/>
    </row>
    <row r="16" ht="14.0">
      <c r="A16" s="14">
        <v>15.0</v>
      </c>
      <c r="B16" s="18" t="s">
        <v>62</v>
      </c>
      <c r="C16" s="17">
        <v>6.0530376E7</v>
      </c>
      <c r="D16" s="17">
        <v>9.962932534E9</v>
      </c>
      <c r="E16" s="19" t="s">
        <v>15</v>
      </c>
      <c r="F16" s="21" t="s">
        <v>15</v>
      </c>
      <c r="G16" s="1" t="s">
        <v>15</v>
      </c>
      <c r="H16" s="15" t="s">
        <v>15</v>
      </c>
      <c r="I16" s="15" t="s">
        <v>15</v>
      </c>
      <c r="J16" s="15" t="s">
        <v>15</v>
      </c>
      <c r="K16" s="1" t="s">
        <v>15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BZ16" s="5"/>
      <c r="CA16" s="1">
        <f t="shared" si="0"/>
        <v>7.0</v>
      </c>
      <c r="CB16" s="1">
        <f t="shared" si="1"/>
        <v>0.0</v>
      </c>
      <c r="CC16" s="1">
        <v>65.0</v>
      </c>
      <c r="CD16" s="1">
        <f t="shared" si="2"/>
        <v>7.0</v>
      </c>
      <c r="CE16" s="16">
        <f t="shared" si="3"/>
        <v>58.0</v>
      </c>
      <c r="CF16" s="9">
        <f t="shared" si="4"/>
        <v>1.0</v>
      </c>
      <c r="CG16" s="1">
        <v>450.0</v>
      </c>
      <c r="CH16" s="1">
        <f t="shared" si="5"/>
        <v>49.0</v>
      </c>
      <c r="CI16" s="1">
        <f t="shared" si="6"/>
        <v>49.0</v>
      </c>
      <c r="CJ16" s="1">
        <f t="shared" si="7"/>
        <v>401.0</v>
      </c>
      <c r="CK16" s="6"/>
    </row>
    <row r="17" ht="14.0">
      <c r="A17" s="22">
        <v>16.0</v>
      </c>
      <c r="B17" s="1" t="s">
        <v>63</v>
      </c>
      <c r="C17" s="1">
        <v>7.3463513E7</v>
      </c>
      <c r="D17" s="5">
        <v>9.08087663E9</v>
      </c>
      <c r="E17" s="1" t="s">
        <v>64</v>
      </c>
      <c r="F17" s="1" t="s">
        <v>64</v>
      </c>
      <c r="G17" s="23" t="s">
        <v>15</v>
      </c>
      <c r="H17" s="15" t="s">
        <v>15</v>
      </c>
      <c r="I17" s="15" t="s">
        <v>15</v>
      </c>
      <c r="J17" s="15" t="s">
        <v>15</v>
      </c>
      <c r="K17" s="1" t="s">
        <v>15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BZ17" s="5"/>
      <c r="CA17" s="1">
        <f t="shared" si="0"/>
        <v>5.0</v>
      </c>
      <c r="CB17" s="1">
        <f t="shared" si="1"/>
        <v>0.0</v>
      </c>
      <c r="CC17" s="1">
        <v>65.0</v>
      </c>
      <c r="CD17" s="1">
        <f t="shared" si="2"/>
        <v>5.0</v>
      </c>
      <c r="CE17" s="16">
        <f t="shared" si="3"/>
        <v>60.0</v>
      </c>
      <c r="CF17" s="9">
        <f t="shared" si="4"/>
        <v>1.0</v>
      </c>
      <c r="CG17" s="1">
        <v>450.0</v>
      </c>
      <c r="CH17" s="1">
        <f t="shared" si="5"/>
        <v>35.0</v>
      </c>
      <c r="CI17" s="1">
        <f t="shared" si="6"/>
        <v>35.0</v>
      </c>
      <c r="CJ17" s="1">
        <f t="shared" si="7"/>
        <v>415.0</v>
      </c>
      <c r="CK17" s="6"/>
    </row>
    <row r="18" ht="14.0">
      <c r="A18" s="6"/>
      <c r="B18" s="6"/>
      <c r="C18" s="6"/>
      <c r="D18" s="6"/>
      <c r="E18" s="6">
        <f>COUNTIF(E3:E17,"P")</f>
        <v>14.0</v>
      </c>
      <c r="F18" s="6">
        <f>COUNTIF(F3:F17,"P")</f>
        <v>12.0</v>
      </c>
      <c r="G18" s="6">
        <f>COUNTIF(G3:G17,"P")</f>
        <v>14.0</v>
      </c>
      <c r="H18" s="6">
        <f>COUNTIF(H3:H17,"P")</f>
        <v>14.0</v>
      </c>
      <c r="I18" s="6">
        <f>COUNTIF(I3:I17,"P")</f>
        <v>14.0</v>
      </c>
      <c r="J18" s="6">
        <f>COUNTIF(J3:J17,"P")</f>
        <v>15.0</v>
      </c>
      <c r="K18" s="6">
        <f>COUNTIF(K3:K17,"P")</f>
        <v>15.0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CA18" s="6"/>
      <c r="CB18" s="6"/>
      <c r="CC18" s="6"/>
      <c r="CD18" s="6"/>
      <c r="CE18" s="6"/>
      <c r="CF18" s="6"/>
      <c r="CG18" s="6"/>
      <c r="CH18" s="6"/>
      <c r="CI18" s="6"/>
      <c r="CJ18" s="6"/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2026-04-16T06:28:15Z</dcterms:created>
</cp:coreProperties>
</file>